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aramco.com\ECC\data\EXPEC_ARC\Internal\YRP\RDP-2025\"/>
    </mc:Choice>
  </mc:AlternateContent>
  <xr:revisionPtr revIDLastSave="0" documentId="13_ncr:41000001_{A0097495-D954-3C45-9BD9-5E6039254373}" xr6:coauthVersionLast="47" xr6:coauthVersionMax="47" xr10:uidLastSave="{00000000-0000-0000-0000-000000000000}"/>
  <bookViews>
    <workbookView xWindow="28702" yWindow="-98" windowWidth="28995" windowHeight="15675" xr2:uid="{00000000-000D-0000-FFFF-FFFF00000000}"/>
  </bookViews>
  <sheets>
    <sheet name="2025" sheetId="1" r:id="rId1"/>
  </sheets>
  <definedNames>
    <definedName name="_xlnm._FilterDatabase" localSheetId="0" hidden="1">'2025'!$A$1:$A$92</definedName>
    <definedName name="_xlnm.Print_Area" localSheetId="0">Table1[#All]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7" i="1" l="1"/>
  <c r="S3" i="1"/>
  <c r="V13" i="1"/>
  <c r="V35" i="1"/>
  <c r="V40" i="1"/>
  <c r="V50" i="1"/>
  <c r="V24" i="1"/>
  <c r="V70" i="1"/>
  <c r="V69" i="1"/>
  <c r="V12" i="1"/>
  <c r="V68" i="1"/>
  <c r="V80" i="1"/>
  <c r="V62" i="1"/>
  <c r="V58" i="1"/>
  <c r="V10" i="1"/>
  <c r="V21" i="1"/>
  <c r="V60" i="1"/>
  <c r="V92" i="1"/>
  <c r="V39" i="1"/>
  <c r="V48" i="1"/>
  <c r="V45" i="1"/>
  <c r="V23" i="1"/>
  <c r="V49" i="1"/>
  <c r="V55" i="1"/>
  <c r="V75" i="1"/>
  <c r="V38" i="1"/>
  <c r="V51" i="1"/>
  <c r="V18" i="1"/>
  <c r="V74" i="1"/>
  <c r="V28" i="1"/>
  <c r="V46" i="1"/>
  <c r="V27" i="1"/>
  <c r="V72" i="1"/>
  <c r="V32" i="1"/>
  <c r="V34" i="1"/>
  <c r="V4" i="1"/>
  <c r="V77" i="1"/>
  <c r="V3" i="1"/>
  <c r="V61" i="1"/>
  <c r="V82" i="1"/>
  <c r="V63" i="1"/>
  <c r="V59" i="1"/>
  <c r="V44" i="1"/>
  <c r="V7" i="1"/>
  <c r="V84" i="1"/>
  <c r="V83" i="1"/>
  <c r="V90" i="1"/>
  <c r="V85" i="1"/>
  <c r="V9" i="1"/>
  <c r="V16" i="1"/>
  <c r="V76" i="1"/>
  <c r="V66" i="1"/>
  <c r="V22" i="1"/>
  <c r="V88" i="1"/>
  <c r="V6" i="1"/>
  <c r="V31" i="1"/>
  <c r="V52" i="1"/>
  <c r="V11" i="1"/>
  <c r="V26" i="1"/>
  <c r="V87" i="1"/>
  <c r="V15" i="1"/>
  <c r="V19" i="1"/>
  <c r="V65" i="1"/>
  <c r="V20" i="1"/>
  <c r="V57" i="1"/>
  <c r="V64" i="1"/>
  <c r="V43" i="1"/>
  <c r="V67" i="1"/>
  <c r="V41" i="1"/>
  <c r="V73" i="1"/>
  <c r="V81" i="1"/>
  <c r="V36" i="1"/>
  <c r="V25" i="1"/>
  <c r="V37" i="1"/>
  <c r="V2" i="1"/>
  <c r="V30" i="1"/>
  <c r="V71" i="1"/>
  <c r="V5" i="1"/>
  <c r="V47" i="1"/>
  <c r="V29" i="1"/>
  <c r="V79" i="1"/>
  <c r="V33" i="1"/>
  <c r="V56" i="1"/>
  <c r="V78" i="1"/>
  <c r="V86" i="1"/>
  <c r="V14" i="1"/>
  <c r="V89" i="1"/>
  <c r="V91" i="1"/>
  <c r="V54" i="1"/>
  <c r="V53" i="1"/>
  <c r="V8" i="1"/>
  <c r="V42" i="1"/>
  <c r="S84" i="1"/>
  <c r="S83" i="1"/>
  <c r="S42" i="1"/>
  <c r="S8" i="1"/>
  <c r="S53" i="1"/>
  <c r="S54" i="1"/>
  <c r="S91" i="1"/>
  <c r="S89" i="1"/>
  <c r="S14" i="1"/>
  <c r="S86" i="1"/>
  <c r="S78" i="1"/>
  <c r="S56" i="1"/>
  <c r="S33" i="1"/>
  <c r="S79" i="1"/>
  <c r="S29" i="1"/>
  <c r="S47" i="1"/>
  <c r="S5" i="1"/>
  <c r="S71" i="1"/>
  <c r="S30" i="1"/>
  <c r="S2" i="1"/>
  <c r="S37" i="1"/>
  <c r="S25" i="1"/>
  <c r="S36" i="1"/>
  <c r="S81" i="1"/>
  <c r="S73" i="1"/>
  <c r="S41" i="1"/>
  <c r="S67" i="1"/>
  <c r="S43" i="1"/>
  <c r="S64" i="1"/>
  <c r="S57" i="1"/>
  <c r="S20" i="1"/>
  <c r="S65" i="1"/>
  <c r="S19" i="1"/>
  <c r="S15" i="1"/>
  <c r="S87" i="1"/>
  <c r="S26" i="1"/>
  <c r="S11" i="1"/>
  <c r="S52" i="1"/>
  <c r="S31" i="1"/>
  <c r="S6" i="1"/>
  <c r="S88" i="1"/>
  <c r="S22" i="1"/>
  <c r="S66" i="1"/>
  <c r="S76" i="1"/>
  <c r="S16" i="1"/>
  <c r="S9" i="1"/>
  <c r="S7" i="1"/>
  <c r="S44" i="1"/>
  <c r="S59" i="1"/>
  <c r="S63" i="1"/>
  <c r="S82" i="1"/>
  <c r="S61" i="1"/>
  <c r="S77" i="1"/>
  <c r="S4" i="1"/>
  <c r="S34" i="1"/>
  <c r="S32" i="1"/>
  <c r="S72" i="1"/>
  <c r="S27" i="1"/>
  <c r="S46" i="1"/>
  <c r="S28" i="1"/>
  <c r="S74" i="1"/>
  <c r="S18" i="1"/>
  <c r="S51" i="1"/>
  <c r="S38" i="1"/>
  <c r="S75" i="1"/>
  <c r="S55" i="1"/>
  <c r="S49" i="1"/>
  <c r="S23" i="1"/>
  <c r="S45" i="1"/>
  <c r="S48" i="1"/>
  <c r="S39" i="1"/>
  <c r="S92" i="1"/>
  <c r="S60" i="1"/>
  <c r="S21" i="1"/>
  <c r="S17" i="1"/>
  <c r="S10" i="1"/>
  <c r="S58" i="1"/>
  <c r="S62" i="1"/>
  <c r="S80" i="1"/>
  <c r="S68" i="1"/>
  <c r="S12" i="1"/>
  <c r="S69" i="1"/>
  <c r="S70" i="1"/>
  <c r="S24" i="1"/>
  <c r="S50" i="1"/>
  <c r="S40" i="1"/>
  <c r="S35" i="1"/>
  <c r="S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Larbi Zeghlache, Mohamed</author>
    <author>Alshamsi, Omar S</author>
    <author>Omran, Fatimah A</author>
  </authors>
  <commentList>
    <comment ref="R11" authorId="0" shapeId="0" xr:uid="{6EEB2CF3-03F9-4876-8C58-BC0EE40E59D3}">
      <text>
        <r>
          <rPr>
            <b/>
            <sz val="14"/>
            <color indexed="81"/>
            <rFont val="Tahoma"/>
            <family val="2"/>
          </rPr>
          <t>Larbi Zeghlache, Mohamed:</t>
        </r>
        <r>
          <rPr>
            <sz val="14"/>
            <color indexed="81"/>
            <rFont val="Tahoma"/>
            <family val="2"/>
          </rPr>
          <t xml:space="preserve">
Can be short listed for graduation if additional KPI's r met</t>
        </r>
      </text>
    </comment>
    <comment ref="O21" authorId="0" shapeId="0" xr:uid="{8B985384-CDE6-4623-ADD1-65BDF2668D98}">
      <text>
        <r>
          <rPr>
            <b/>
            <sz val="9"/>
            <color indexed="81"/>
            <rFont val="Tahoma"/>
            <family val="2"/>
          </rPr>
          <t>Larbi Zeghlache, Mohamed:</t>
        </r>
        <r>
          <rPr>
            <sz val="9"/>
            <color indexed="81"/>
            <rFont val="Tahoma"/>
            <family val="2"/>
          </rPr>
          <t xml:space="preserve">
Scheduled twice on Mar-6 and Mar-20. to be scheduled in 2024</t>
        </r>
      </text>
    </comment>
    <comment ref="T21" authorId="1" shapeId="0" xr:uid="{D35EAADE-1CAE-453E-BDC0-A55300FD85A0}">
      <text>
        <r>
          <rPr>
            <b/>
            <sz val="9"/>
            <color indexed="81"/>
            <rFont val="Tahoma"/>
            <charset val="1"/>
          </rPr>
          <t>Alshamsi, Omar S:</t>
        </r>
        <r>
          <rPr>
            <sz val="9"/>
            <color indexed="81"/>
            <rFont val="Tahoma"/>
            <charset val="1"/>
          </rPr>
          <t xml:space="preserve">
Did not reply to email
</t>
        </r>
      </text>
    </comment>
    <comment ref="T22" authorId="1" shapeId="0" xr:uid="{7204120D-D515-4EF0-8A0D-5A16B1DB92E1}">
      <text>
        <r>
          <rPr>
            <b/>
            <sz val="9"/>
            <color indexed="81"/>
            <rFont val="Tahoma"/>
            <charset val="1"/>
          </rPr>
          <t>Alshamsi, Omar S:</t>
        </r>
        <r>
          <rPr>
            <sz val="9"/>
            <color indexed="81"/>
            <rFont val="Tahoma"/>
            <charset val="1"/>
          </rPr>
          <t xml:space="preserve">
Did not reply to emails</t>
        </r>
      </text>
    </comment>
    <comment ref="O26" authorId="0" shapeId="0" xr:uid="{86BF150E-8DBD-4AB3-9EAC-ADFF1D43E58D}">
      <text>
        <r>
          <rPr>
            <b/>
            <sz val="9"/>
            <color indexed="81"/>
            <rFont val="Tahoma"/>
            <family val="2"/>
          </rPr>
          <t>Larbi Zeghlache, Mohamed:</t>
        </r>
        <r>
          <rPr>
            <sz val="9"/>
            <color indexed="81"/>
            <rFont val="Tahoma"/>
            <family val="2"/>
          </rPr>
          <t xml:space="preserve">
To be rescheduled in Q1-24</t>
        </r>
      </text>
    </comment>
    <comment ref="Q31" authorId="0" shapeId="0" xr:uid="{8FDCAB40-FD73-4D89-921E-8F4B49A8B213}">
      <text>
        <r>
          <rPr>
            <b/>
            <sz val="14"/>
            <color indexed="81"/>
            <rFont val="Tahoma"/>
            <family val="2"/>
          </rPr>
          <t>Larbi Zeghlache, Mohamed:</t>
        </r>
        <r>
          <rPr>
            <sz val="14"/>
            <color indexed="81"/>
            <rFont val="Tahoma"/>
            <family val="2"/>
          </rPr>
          <t xml:space="preserve">
Initialy planned on 1/22/2024. slot canceled. To be rescheduled in 2024</t>
        </r>
      </text>
    </comment>
    <comment ref="Q33" authorId="2" shapeId="0" xr:uid="{753CCC4F-1476-4123-BB59-9DE67880685F}">
      <text>
        <r>
          <rPr>
            <b/>
            <sz val="9"/>
            <color indexed="81"/>
            <rFont val="Tahoma"/>
            <family val="2"/>
          </rPr>
          <t>Omran, Fatimah A:</t>
        </r>
        <r>
          <rPr>
            <sz val="9"/>
            <color indexed="81"/>
            <rFont val="Tahoma"/>
            <family val="2"/>
          </rPr>
          <t xml:space="preserve">
I’m planning a short leave that week and will be on a long leave in October-November. Please delay my presentation until December</t>
        </r>
      </text>
    </comment>
    <comment ref="Q52" authorId="0" shapeId="0" xr:uid="{BB7BCEF6-671E-464D-BE02-DF1A643B53D7}">
      <text>
        <r>
          <rPr>
            <b/>
            <sz val="14"/>
            <color indexed="81"/>
            <rFont val="Tahoma"/>
            <family val="2"/>
          </rPr>
          <t>Larbi Zeghlache, Mohamed:</t>
        </r>
        <r>
          <rPr>
            <sz val="14"/>
            <color indexed="81"/>
            <rFont val="Tahoma"/>
            <family val="2"/>
          </rPr>
          <t xml:space="preserve">
Initialy planned on 1/22/2024. slot canceled. To be rescheduled in 2024</t>
        </r>
      </text>
    </comment>
    <comment ref="O53" authorId="0" shapeId="0" xr:uid="{193EA156-23E9-4578-A9CA-EFEA2AF9F318}">
      <text>
        <r>
          <rPr>
            <b/>
            <sz val="9"/>
            <color indexed="81"/>
            <rFont val="Tahoma"/>
            <family val="2"/>
          </rPr>
          <t>Larbi Zeghlache, Mohamed:</t>
        </r>
        <r>
          <rPr>
            <sz val="9"/>
            <color indexed="81"/>
            <rFont val="Tahoma"/>
            <family val="2"/>
          </rPr>
          <t xml:space="preserve">
No show 3/6/2023</t>
        </r>
      </text>
    </comment>
    <comment ref="Q53" authorId="2" shapeId="0" xr:uid="{8862028B-4ADA-42BE-8D54-451EC631396F}">
      <text>
        <r>
          <rPr>
            <b/>
            <sz val="9"/>
            <color indexed="81"/>
            <rFont val="Tahoma"/>
            <family val="2"/>
          </rPr>
          <t>Omran, Fatimah A:</t>
        </r>
        <r>
          <rPr>
            <sz val="9"/>
            <color indexed="81"/>
            <rFont val="Tahoma"/>
            <family val="2"/>
          </rPr>
          <t xml:space="preserve">
working now with drilling in a remote area 
</t>
        </r>
      </text>
    </comment>
    <comment ref="T61" authorId="2" shapeId="0" xr:uid="{6DF25617-5BE7-44E9-8804-12F9118C42A0}">
      <text>
        <r>
          <rPr>
            <b/>
            <sz val="9"/>
            <color indexed="81"/>
            <rFont val="Tahoma"/>
            <family val="2"/>
          </rPr>
          <t>Omran, Fatimah A:</t>
        </r>
        <r>
          <rPr>
            <sz val="9"/>
            <color indexed="81"/>
            <rFont val="Tahoma"/>
            <family val="2"/>
          </rPr>
          <t xml:space="preserve">
I am currently on assignment.
Please schedule the subjected meeting after the completion of my business assignment. 
</t>
        </r>
      </text>
    </comment>
    <comment ref="Q79" authorId="2" shapeId="0" xr:uid="{B01C121A-D9F6-43CA-857E-C9895556BD90}">
      <text>
        <r>
          <rPr>
            <b/>
            <sz val="9"/>
            <color indexed="81"/>
            <rFont val="Tahoma"/>
            <family val="2"/>
          </rPr>
          <t>Omran, Fatimah A:</t>
        </r>
        <r>
          <rPr>
            <sz val="9"/>
            <color indexed="81"/>
            <rFont val="Tahoma"/>
            <family val="2"/>
          </rPr>
          <t xml:space="preserve">
I will extend my assignment here in KURC for another 6 months so I prefer to do my RDB in Q4, 2025. </t>
        </r>
      </text>
    </comment>
    <comment ref="L81" authorId="0" shapeId="0" xr:uid="{59DE1A87-34AD-48AA-AD0C-66F6AE923535}">
      <text>
        <r>
          <rPr>
            <b/>
            <sz val="9"/>
            <color indexed="81"/>
            <rFont val="Tahoma"/>
            <family val="2"/>
          </rPr>
          <t>Larbi Zeghlache, Mohamed:</t>
        </r>
        <r>
          <rPr>
            <sz val="9"/>
            <color indexed="81"/>
            <rFont val="Tahoma"/>
            <family val="2"/>
          </rPr>
          <t xml:space="preserve">
Finished her PhD, 4/17</t>
        </r>
      </text>
    </comment>
    <comment ref="O81" authorId="0" shapeId="0" xr:uid="{3A77108F-414A-4348-B486-266C0475FEA4}">
      <text>
        <r>
          <rPr>
            <b/>
            <sz val="9"/>
            <color indexed="81"/>
            <rFont val="Tahoma"/>
            <family val="2"/>
          </rPr>
          <t>Larbi Zeghlache, Mohamed:</t>
        </r>
        <r>
          <rPr>
            <sz val="9"/>
            <color indexed="81"/>
            <rFont val="Tahoma"/>
            <family val="2"/>
          </rPr>
          <t xml:space="preserve">
Last minute cancellation. To be rescheduled in Q1-24</t>
        </r>
      </text>
    </comment>
    <comment ref="Q81" authorId="2" shapeId="0" xr:uid="{785A4260-1E9F-4B99-ADAD-9B64967796F0}">
      <text>
        <r>
          <rPr>
            <b/>
            <sz val="9"/>
            <color indexed="81"/>
            <rFont val="Tahoma"/>
            <family val="2"/>
          </rPr>
          <t>Omran, Fatimah A:</t>
        </r>
        <r>
          <rPr>
            <sz val="9"/>
            <color indexed="81"/>
            <rFont val="Tahoma"/>
            <family val="2"/>
          </rPr>
          <t xml:space="preserve">
Wesam is in an assignment with STAD and has no progress in her RDP. We will reschedule her end of next year so she can finish her assignment by Apr-2025, get her PhD defense and then work on her Phae-2 KPI’s</t>
        </r>
      </text>
    </comment>
    <comment ref="Q82" authorId="2" shapeId="0" xr:uid="{FF577462-DF96-4659-81CB-634F316FAD87}">
      <text>
        <r>
          <rPr>
            <b/>
            <sz val="9"/>
            <color indexed="81"/>
            <rFont val="Tahoma"/>
            <family val="2"/>
          </rPr>
          <t>Omran, Fatimah A:</t>
        </r>
        <r>
          <rPr>
            <sz val="9"/>
            <color indexed="81"/>
            <rFont val="Tahoma"/>
            <family val="2"/>
          </rPr>
          <t xml:space="preserve">
Will not be able too. I am leaving for my ADP very soon. You may contact someone else</t>
        </r>
      </text>
    </comment>
    <comment ref="Q87" authorId="2" shapeId="0" xr:uid="{24C87862-C305-443B-8438-A1803789A397}">
      <text>
        <r>
          <rPr>
            <b/>
            <sz val="9"/>
            <color indexed="81"/>
            <rFont val="Tahoma"/>
            <family val="2"/>
          </rPr>
          <t>Omran, Fatimah A:</t>
        </r>
        <r>
          <rPr>
            <sz val="9"/>
            <color indexed="81"/>
            <rFont val="Tahoma"/>
            <family val="2"/>
          </rPr>
          <t xml:space="preserve">
This is to inform you that I will be out on a maternity leave soon. 
I kindly request your support in scheduling my review meeting towards the end of this year. </t>
        </r>
      </text>
    </comment>
    <comment ref="Q89" authorId="0" shapeId="0" xr:uid="{56C30B4E-4CD3-4A79-AB84-9C48F624C357}">
      <text>
        <r>
          <rPr>
            <b/>
            <sz val="14"/>
            <color indexed="81"/>
            <rFont val="Tahoma"/>
            <family val="2"/>
          </rPr>
          <t>Larbi Zeghlache, Mohamed:</t>
        </r>
        <r>
          <rPr>
            <sz val="14"/>
            <color indexed="81"/>
            <rFont val="Tahoma"/>
            <family val="2"/>
          </rPr>
          <t xml:space="preserve">
Slot cancelled due to not sending files. Last chance next year!</t>
        </r>
      </text>
    </comment>
  </commentList>
</comments>
</file>

<file path=xl/sharedStrings.xml><?xml version="1.0" encoding="utf-8"?>
<sst xmlns="http://schemas.openxmlformats.org/spreadsheetml/2006/main" count="1089" uniqueCount="449">
  <si>
    <t xml:space="preserve">Name </t>
  </si>
  <si>
    <t>Division</t>
  </si>
  <si>
    <t>Specialty</t>
  </si>
  <si>
    <t>Mentor</t>
  </si>
  <si>
    <t>Grade Code</t>
  </si>
  <si>
    <t>DTT</t>
  </si>
  <si>
    <t>GTT</t>
  </si>
  <si>
    <t>GPT</t>
  </si>
  <si>
    <t>RETT</t>
  </si>
  <si>
    <t>ATSD</t>
  </si>
  <si>
    <t>PTT</t>
  </si>
  <si>
    <t>Artificial Lift</t>
  </si>
  <si>
    <t>Mohammad Alsoraya</t>
  </si>
  <si>
    <t>Amr Abdel-Fattah</t>
  </si>
  <si>
    <t>Sattam Al Mutairi</t>
  </si>
  <si>
    <t>Abdulelah Nasieef</t>
  </si>
  <si>
    <t>Alternate EOR Processes (Thermal and Solvent)</t>
  </si>
  <si>
    <t>Marwah  Ismail</t>
  </si>
  <si>
    <t>Mokhles Mezghani</t>
  </si>
  <si>
    <t>Zonal Isolation</t>
  </si>
  <si>
    <t>Thomas Heinold</t>
  </si>
  <si>
    <t>BS Graduation Year</t>
  </si>
  <si>
    <t>OOK</t>
  </si>
  <si>
    <t>IK</t>
  </si>
  <si>
    <t>IK/OOK</t>
  </si>
  <si>
    <t>Rock mechanics</t>
  </si>
  <si>
    <t>Hala Alqatari</t>
  </si>
  <si>
    <t>2011 </t>
  </si>
  <si>
    <t>1</t>
  </si>
  <si>
    <t> Geossa001@gmail.com</t>
  </si>
  <si>
    <t> Hala.alqatari@yahoo.com</t>
  </si>
  <si>
    <t>S9LEH@HOTMAIL.COM</t>
  </si>
  <si>
    <t>Currently pursuing MS</t>
  </si>
  <si>
    <t>Eiman Munif</t>
  </si>
  <si>
    <t>Mustafa Almahfoodh</t>
  </si>
  <si>
    <t>MUSTAFA450@HOTMAIL.COM</t>
  </si>
  <si>
    <t>Sameeh Batarseh</t>
  </si>
  <si>
    <t>marwahalsinan@gmail.com</t>
  </si>
  <si>
    <t>Hyung Kwak</t>
  </si>
  <si>
    <t xml:space="preserve">Ahmed Al Dughaither  </t>
  </si>
  <si>
    <t>Mohammed Al Zahrani</t>
  </si>
  <si>
    <t>Wesam Al Muttawa</t>
  </si>
  <si>
    <t>Omar Dajani</t>
  </si>
  <si>
    <t>Ezzedeen Fataierge</t>
  </si>
  <si>
    <t>Yaser Alzayer</t>
  </si>
  <si>
    <t>Saleh Qahtani</t>
  </si>
  <si>
    <t>Saleh Hassan</t>
  </si>
  <si>
    <t>Marwa Sinan</t>
  </si>
  <si>
    <t>Salem Al Garni</t>
  </si>
  <si>
    <t>Abdullah Al Yami</t>
  </si>
  <si>
    <t>Omar Alobaid</t>
  </si>
  <si>
    <t>Geomechanics/ Emerging Play Concepts</t>
  </si>
  <si>
    <t>Geosciences / Applied Mathematics/ Multi Scales</t>
  </si>
  <si>
    <t>Sedimentary/Basin Analysis</t>
  </si>
  <si>
    <t>Saleh M Komies</t>
  </si>
  <si>
    <t>ID#</t>
  </si>
  <si>
    <t xml:space="preserve">Email </t>
  </si>
  <si>
    <t>Unconventional: High Power Laser</t>
  </si>
  <si>
    <t>Nour Alzamil</t>
  </si>
  <si>
    <t>Moath Al Gazlan</t>
  </si>
  <si>
    <t>May. 2012</t>
  </si>
  <si>
    <t>Sep. 2012</t>
  </si>
  <si>
    <t>Currently pursuing PhD</t>
  </si>
  <si>
    <t>June. 2012</t>
  </si>
  <si>
    <t>May. 2011</t>
  </si>
  <si>
    <t>Aug. 2010</t>
  </si>
  <si>
    <t>July. 2010</t>
  </si>
  <si>
    <t>Aug. 2013</t>
  </si>
  <si>
    <t>Abdullah Yami</t>
  </si>
  <si>
    <t>Ahmed Ghuraybi</t>
  </si>
  <si>
    <t>Wengang Li</t>
  </si>
  <si>
    <t>Smart Fluids</t>
  </si>
  <si>
    <t>Well Isolation and integrity assurance specialist</t>
  </si>
  <si>
    <t xml:space="preserve">Drilling Systems Specialist  </t>
  </si>
  <si>
    <t>Drilling Automation and Optimization Specialist</t>
  </si>
  <si>
    <t>Fracture characterization using both surface and micro-seismic data</t>
  </si>
  <si>
    <t> 727570</t>
  </si>
  <si>
    <t> 773046</t>
  </si>
  <si>
    <t>alghuraybi.a.m@gmail.com</t>
  </si>
  <si>
    <t xml:space="preserve">Saleh Alnasser </t>
  </si>
  <si>
    <t>Jamal Aamri</t>
  </si>
  <si>
    <t>Scale Mitigation and Control</t>
  </si>
  <si>
    <t>Seismic Imaging</t>
  </si>
  <si>
    <t>Stable Isotope</t>
  </si>
  <si>
    <t>Gas Condensate Phase Behavior and Characterization</t>
  </si>
  <si>
    <t>Ali Altowilib</t>
  </si>
  <si>
    <t>Inorganic scales mitigation; inhibition and removal</t>
  </si>
  <si>
    <t xml:space="preserve">Rayan S. Kanfar </t>
  </si>
  <si>
    <t>Abdulaziz Al Musa</t>
  </si>
  <si>
    <t>Mohammed Al Jubran</t>
  </si>
  <si>
    <t>Amjad Shaarawi</t>
  </si>
  <si>
    <t>Reservoir Geophysics</t>
  </si>
  <si>
    <t>2</t>
  </si>
  <si>
    <t>anasieef@gmail.com</t>
  </si>
  <si>
    <t>wesam.almutawa@gmail.com</t>
  </si>
  <si>
    <t>rayan.kanfar@gmail.com</t>
  </si>
  <si>
    <t>saleh.nasser@gmail.com</t>
  </si>
  <si>
    <t>Pavel Golikov</t>
  </si>
  <si>
    <t>BS</t>
  </si>
  <si>
    <t>MS</t>
  </si>
  <si>
    <t>PhD</t>
  </si>
  <si>
    <t>Hana Matouq</t>
  </si>
  <si>
    <t>PVT Fluid Properties: Challenges and Applications</t>
  </si>
  <si>
    <t>Ahmed Alsmaeil</t>
  </si>
  <si>
    <t>Muhammad Arsalan</t>
  </si>
  <si>
    <t>Hussain Qattan</t>
  </si>
  <si>
    <t>Geological Modelling  and Automation</t>
  </si>
  <si>
    <t>Faisal Alnajjar</t>
  </si>
  <si>
    <t>Geochemistry</t>
  </si>
  <si>
    <t>Norah Aljeaban</t>
  </si>
  <si>
    <t>Scale Mitigation</t>
  </si>
  <si>
    <t>Tao Chen</t>
  </si>
  <si>
    <t>Mohammed  Alabdrabalnabi</t>
  </si>
  <si>
    <t xml:space="preserve">Fahd Alghunaimi </t>
  </si>
  <si>
    <t>Yaser K Duailej</t>
  </si>
  <si>
    <t>Wael Badeghaish</t>
  </si>
  <si>
    <t>Advanced Well materials</t>
  </si>
  <si>
    <t>Amjad Sharaawi</t>
  </si>
  <si>
    <t>David Zhan</t>
  </si>
  <si>
    <t>Currently pursuing PhD at  KAUST</t>
  </si>
  <si>
    <t>MS/PhD</t>
  </si>
  <si>
    <t xml:space="preserve">Currently pursuing PhD </t>
  </si>
  <si>
    <t xml:space="preserve">Hamoud Alqahtani </t>
  </si>
  <si>
    <t>M/F</t>
  </si>
  <si>
    <t>M</t>
  </si>
  <si>
    <t>F</t>
  </si>
  <si>
    <t xml:space="preserve">Bashayer Aldakkan </t>
  </si>
  <si>
    <t>Nationality</t>
  </si>
  <si>
    <t>Mohammad S Alosail</t>
  </si>
  <si>
    <t>Muhammad M Hotan</t>
  </si>
  <si>
    <t>Odai A Elyas</t>
  </si>
  <si>
    <t>Meshari M Alshalan</t>
  </si>
  <si>
    <t>Cementing and Wellbore Isolation</t>
  </si>
  <si>
    <t>Drilling/Cementing</t>
  </si>
  <si>
    <t>Drilling/Drilling Fluids</t>
  </si>
  <si>
    <t>FAHAD S ALDOSSARY</t>
  </si>
  <si>
    <t>Saudi</t>
  </si>
  <si>
    <t>Expat</t>
  </si>
  <si>
    <t>Abdel-Fattah, Amr I</t>
  </si>
  <si>
    <t>Haitham Hamed</t>
  </si>
  <si>
    <t>Mutaz Alsubhi</t>
  </si>
  <si>
    <t>IK ADP KAUST</t>
  </si>
  <si>
    <t xml:space="preserve">Abrar Alshaikh </t>
  </si>
  <si>
    <t>Don W Lawrence</t>
  </si>
  <si>
    <t>NA</t>
  </si>
  <si>
    <t>Completed PhD</t>
  </si>
  <si>
    <t>January 10, 2021 RWD 
will complete the PhD program remotely</t>
  </si>
  <si>
    <t>Remarks</t>
  </si>
  <si>
    <t xml:space="preserve">Abdullah Alomier </t>
  </si>
  <si>
    <t xml:space="preserve">Omar Alobaid </t>
  </si>
  <si>
    <t xml:space="preserve">Sequeira, Daryl S </t>
  </si>
  <si>
    <t xml:space="preserve">OOK </t>
  </si>
  <si>
    <t>Faris Tulbah</t>
  </si>
  <si>
    <t>Ibrahim Al Obaidan A</t>
  </si>
  <si>
    <t>Haidary, Saleh A</t>
  </si>
  <si>
    <t>Shale Fracture Mechanics</t>
  </si>
  <si>
    <t>Drilling tools</t>
  </si>
  <si>
    <t>Seismic inversion – Artificial Intelligence</t>
  </si>
  <si>
    <t>Advanced Materials</t>
  </si>
  <si>
    <t xml:space="preserve">Unconventional Resources </t>
  </si>
  <si>
    <t>Nanomaterials for Subsurface Applications</t>
  </si>
  <si>
    <t>Drilling Fluid Chemicals</t>
  </si>
  <si>
    <t>Mohammed Arfaj</t>
  </si>
  <si>
    <t>Energy Resources and Petroleum Engineering</t>
  </si>
  <si>
    <t>Otaibi, Mohammad B</t>
  </si>
  <si>
    <t>Ahmed Ghizzi Alghizzi</t>
  </si>
  <si>
    <t>Mohammed Ahmed Almarzoug</t>
  </si>
  <si>
    <t xml:space="preserve">Waleed Dokhon </t>
  </si>
  <si>
    <t>Subhash Ayirala</t>
  </si>
  <si>
    <t>Shahad Bamigdad</t>
  </si>
  <si>
    <t>Amani Othman Alghamdi</t>
  </si>
  <si>
    <t>Maram Zaki Al- Saif</t>
  </si>
  <si>
    <t>Deena Mohammed Tayyib</t>
  </si>
  <si>
    <t>Muhannad Omar Alabdullateef</t>
  </si>
  <si>
    <t>Na</t>
  </si>
  <si>
    <t xml:space="preserve">Hussain Alfayez </t>
  </si>
  <si>
    <t>Currently pursuing Phd</t>
  </si>
  <si>
    <t>ZAINAB Z IBRAHIM</t>
  </si>
  <si>
    <t>IBRAHIM T ALFRAIH</t>
  </si>
  <si>
    <t>THAMER H ALMAHAMIDH</t>
  </si>
  <si>
    <t>RUBA M AFIFI</t>
  </si>
  <si>
    <t>ABEER A ALARAWI</t>
  </si>
  <si>
    <t>ABDULAZIZ W SOWAILEM</t>
  </si>
  <si>
    <t>NOORAH F ALMULHIM</t>
  </si>
  <si>
    <t>KHALID M ALHAJRI</t>
  </si>
  <si>
    <t>FAWAZ M ALBOGHAIL</t>
  </si>
  <si>
    <t>NAYEF M ALMUGRIN</t>
  </si>
  <si>
    <t>BASMAH H ALAHMADI</t>
  </si>
  <si>
    <t>EYAD F JISHI</t>
  </si>
  <si>
    <t>ALI J ALZAYER</t>
  </si>
  <si>
    <t>Seismic Interpretation</t>
  </si>
  <si>
    <t>IK/OOK COMMENT</t>
  </si>
  <si>
    <t>2023 Review Meeting Schedule</t>
  </si>
  <si>
    <t>Phase in RDP 2022</t>
  </si>
  <si>
    <t>Phase in RDP 2023</t>
  </si>
  <si>
    <t>Grad</t>
  </si>
  <si>
    <t>Q1-2024</t>
  </si>
  <si>
    <t xml:space="preserve">Gonzalez Perez, Hector J </t>
  </si>
  <si>
    <t>N/A</t>
  </si>
  <si>
    <t xml:space="preserve">Teke Kushabhau </t>
  </si>
  <si>
    <t>Sarah Alrammah</t>
  </si>
  <si>
    <t>Abdulalziz S. Alkhateeb</t>
  </si>
  <si>
    <t>ALBOGHFM</t>
  </si>
  <si>
    <t>Hug Osorio</t>
  </si>
  <si>
    <t>Q4-2024</t>
  </si>
  <si>
    <t>Ali, Abdulmohsen M</t>
  </si>
  <si>
    <t>Tsingas, Constantinos</t>
  </si>
  <si>
    <t>Khawlah Alanqari</t>
  </si>
  <si>
    <t>Cinar, Yildiray SRMD</t>
  </si>
  <si>
    <t>Yaser Khalid AlDuailej</t>
  </si>
  <si>
    <t>Formation damage and stimulation</t>
  </si>
  <si>
    <t>Ismaeel Musa</t>
  </si>
  <si>
    <t>Drilling fluids</t>
  </si>
  <si>
    <t>Sultan Enezi</t>
  </si>
  <si>
    <t>Petrophysics</t>
  </si>
  <si>
    <t>Yaser Al Zayer</t>
  </si>
  <si>
    <t>Advanced Characterization</t>
  </si>
  <si>
    <t>Atwah, Ibrahim Z </t>
  </si>
  <si>
    <t>Saleh Al Qahtani</t>
  </si>
  <si>
    <t>Structural Geology</t>
  </si>
  <si>
    <t>Hydro-Chemo-Mechanical coupling of gas sorption kinetics in dual porosity media</t>
  </si>
  <si>
    <t>Returned in January 2023</t>
  </si>
  <si>
    <t xml:space="preserve">Hydrogen Underground Storage </t>
  </si>
  <si>
    <t> MS</t>
  </si>
  <si>
    <t>Abdulaziz.alkhateeb@kaust.edu.sa </t>
  </si>
  <si>
    <t>Mutaz.alsubhi@kaust.edu.sa </t>
  </si>
  <si>
    <t>Hussain AlBahrani</t>
  </si>
  <si>
    <t>Rejoined EXPEC ARC in June 2023</t>
  </si>
  <si>
    <t>Chemistry applications for upstream</t>
  </si>
  <si>
    <t>Waterflooding and Improved Oil Recovery</t>
  </si>
  <si>
    <t>Carbonated Water Flooding Using SmartWater</t>
  </si>
  <si>
    <t>Cementing Services Unit (CSU)</t>
  </si>
  <si>
    <t>back to GPT since the beginning of 2023</t>
  </si>
  <si>
    <t xml:space="preserve">Managed Pressure Drilling                       </t>
  </si>
  <si>
    <t>Nanotechnology</t>
  </si>
  <si>
    <t>Subsurface storage, Reservoir Simulation</t>
  </si>
  <si>
    <t>Advanced modelling and simulation of multi-phase flow in porous media</t>
  </si>
  <si>
    <t>noorah.almulhim@aramco.com</t>
  </si>
  <si>
    <t>nayef.almugrin@aramco.com</t>
  </si>
  <si>
    <t>jamal.aamri@aramco.com</t>
  </si>
  <si>
    <t>Joint Inversion</t>
  </si>
  <si>
    <t>QC of Drilling Chemicals</t>
  </si>
  <si>
    <t>AI applications</t>
  </si>
  <si>
    <t>Shuhail, Abdulrahman A</t>
  </si>
  <si>
    <t>May, 2018</t>
  </si>
  <si>
    <t>Formation Evaluation</t>
  </si>
  <si>
    <t>Phase Behavior and Fluid Characterization</t>
  </si>
  <si>
    <t xml:space="preserve">Hydrocarbon Phase Behavior </t>
  </si>
  <si>
    <t>12/14/2018 </t>
  </si>
  <si>
    <t>Geosciences - Geochemistry</t>
  </si>
  <si>
    <t>Ibrahimalfraih8@gmail.com</t>
  </si>
  <si>
    <t>Phase in RDP 2024</t>
  </si>
  <si>
    <t>2024 Review Meeting Schedule</t>
  </si>
  <si>
    <t xml:space="preserve">Richard Pye </t>
  </si>
  <si>
    <t>Advanced Drilling Tools</t>
  </si>
  <si>
    <t>Drilling oilfield chemicals Specialist </t>
  </si>
  <si>
    <t>Almulhim, Marwan A</t>
  </si>
  <si>
    <t>Alrashed, Ahmad A</t>
  </si>
  <si>
    <t>Alfaraj, Rima T</t>
  </si>
  <si>
    <t>Aljuryyed, Norah W</t>
  </si>
  <si>
    <t>Alahmari, Manar M</t>
  </si>
  <si>
    <t>Sarraf, Abdulla N</t>
  </si>
  <si>
    <t>DAS modeling and inversion</t>
  </si>
  <si>
    <t>doing MS (ETH Zurich, Sept 2022, Sept 2024), Followed by PhD (ETH Zurich, Sept 2024 – Sept  2028)</t>
  </si>
  <si>
    <t>New RDP candidate for 2023</t>
  </si>
  <si>
    <t>New RDP candidate for 2023 / planned to start MS next year</t>
  </si>
  <si>
    <t>New RDP candidate for 2024</t>
  </si>
  <si>
    <t>Abu Alsaud Sara</t>
  </si>
  <si>
    <t>He Xupeng</t>
  </si>
  <si>
    <t>Klemens Katterbauer</t>
  </si>
  <si>
    <t xml:space="preserve">Formation Evaluation </t>
  </si>
  <si>
    <t xml:space="preserve">Ismail Surve </t>
  </si>
  <si>
    <t>Kern Smith</t>
  </si>
  <si>
    <t>Ismail Surve</t>
  </si>
  <si>
    <t>Joe Shine</t>
  </si>
  <si>
    <t xml:space="preserve">Emmanuel Uba </t>
  </si>
  <si>
    <t>Feng Lu</t>
  </si>
  <si>
    <t>Completed his PhD, reported by Sept. 9</t>
  </si>
  <si>
    <t>Currently in assignment with South Haradh unit, SA GRMD until Jan 2025</t>
  </si>
  <si>
    <t>Promotion</t>
  </si>
  <si>
    <t>IK assignment</t>
  </si>
  <si>
    <t>Ali.alzayer.1@aramco.com </t>
  </si>
  <si>
    <t>Aug. 2018</t>
  </si>
  <si>
    <t>kmsh2011ksa@gmail.com </t>
  </si>
  <si>
    <t>shahad.bamigdad@aramco.com</t>
  </si>
  <si>
    <t xml:space="preserve">Faresmajed50@gmail.com
Faris.alotaibi@kaust.edu.sa </t>
  </si>
  <si>
    <t>faisal.alnajjar@aramco.com</t>
  </si>
  <si>
    <t xml:space="preserve">Chidirim Ejim </t>
  </si>
  <si>
    <t>Fares Alotaibi</t>
  </si>
  <si>
    <t>Ali Abdulhameed Dawood</t>
  </si>
  <si>
    <t>Ersan Turkoglu</t>
  </si>
  <si>
    <t>Tonellot, Thierry-Laurent D</t>
  </si>
  <si>
    <t>Ayman M. Almohsin</t>
  </si>
  <si>
    <t>ADP PhD</t>
  </si>
  <si>
    <t>ADP KAUST</t>
  </si>
  <si>
    <t>Finished PhD</t>
  </si>
  <si>
    <t>ADP STANFORD</t>
  </si>
  <si>
    <t>Ramdani, Ahmad I</t>
  </si>
  <si>
    <t>ahmad.ramdani@aramco.com</t>
  </si>
  <si>
    <t xml:space="preserve">Dawood, Ali A </t>
  </si>
  <si>
    <t>ALI.DAWOOD.18@ARAMCO.COM</t>
  </si>
  <si>
    <t>Finished assignment with UR late July 23-Jan24 and another assignment in D&amp;WO from Mar24 – Sep 24. 
Started new assignment with PROCESSING PRE-FEASIBILITY Dep 10/13/2024 to 10/09/2025 .</t>
  </si>
  <si>
    <t>Currently pursuing Ms at KAUST</t>
  </si>
  <si>
    <t>Reported to work on January as he was recalled for not being able to meet the ADP program requirement and complete it on time. Currently in assignment with STAD until Nov2024. His assignment with STAD was interrupted few months after joining STAD. He was then permanently transferred to GTD in Jun 2024.</t>
  </si>
  <si>
    <t>New RDP candidate for 2023. Currently pursuing PhD at KAUST</t>
  </si>
  <si>
    <t xml:space="preserve">New RDP candidate for 2023. Currently pursuing Ms followed by PhD in Petroleum Engineering </t>
  </si>
  <si>
    <t xml:space="preserve">Finished PhD in Sept. 2023. Currently under RETD assignment for 1 yr until Feb 2025. </t>
  </si>
  <si>
    <t xml:space="preserve">Assignment in KAUST until February 2025. </t>
  </si>
  <si>
    <t>BSc</t>
  </si>
  <si>
    <t>Returned from PhD Dec-2024</t>
  </si>
  <si>
    <t>badegawo@aramco.com</t>
  </si>
  <si>
    <t>Phase in RDP 2025</t>
  </si>
  <si>
    <t>2025 Review Meeting Schedule</t>
  </si>
  <si>
    <t>Overstay?</t>
  </si>
  <si>
    <t>Assignment in STAD 2025</t>
  </si>
  <si>
    <t>Ibrahim  Atwah</t>
  </si>
  <si>
    <t>Laser O&amp;G Applications, Hydraulic Fracturing</t>
  </si>
  <si>
    <t>Data acquisition and robotics</t>
  </si>
  <si>
    <t>Modeling and AI</t>
  </si>
  <si>
    <t xml:space="preserve">Daniele Colombo </t>
  </si>
  <si>
    <t xml:space="preserve">Seismic Imaging </t>
  </si>
  <si>
    <t>Mechanical Engineering / Metering &amp; Intervention</t>
  </si>
  <si>
    <t>is on secondment to STAD and her RDP is on hold</t>
  </si>
  <si>
    <t>Currently pursuing PhD return 2027</t>
  </si>
  <si>
    <t>ODAI.ELYAS@ARAMCO.COM</t>
  </si>
  <si>
    <t>Currently pursuing PhD return 2026</t>
  </si>
  <si>
    <t>abdulaziz.almusa@aramco.com</t>
  </si>
  <si>
    <t>Currently pursuing PhD return 2025</t>
  </si>
  <si>
    <t>mohammad.aljubran@aramco.com</t>
  </si>
  <si>
    <t>IK ADP KAUST PhD return 2028</t>
  </si>
  <si>
    <t>ABRAR.SHAIKH@ARAMCO.COM</t>
  </si>
  <si>
    <t>IK ADP KAUST PhD return 2027</t>
  </si>
  <si>
    <t>meshari.alshalan@aramco.com</t>
  </si>
  <si>
    <t>IK ADP KAUST PhD return 2026</t>
  </si>
  <si>
    <t>haitham.hamed@aramco.com</t>
  </si>
  <si>
    <t>OMAR.DAJANI@ARAMCO.COM</t>
  </si>
  <si>
    <t>Mohammad.Alosail@aramco.com</t>
  </si>
  <si>
    <t>Part time PhD at KFUPM 2nd year.</t>
  </si>
  <si>
    <t>khawlah.alanqari@aramco.com</t>
  </si>
  <si>
    <t>MOATH.GAZLAN@ARAMCO.COM</t>
  </si>
  <si>
    <t>Ended the assignment in UR and will pursue PhD in 2025</t>
  </si>
  <si>
    <t>DAS modeling</t>
  </si>
  <si>
    <t>nour.alzamil@aramco.com</t>
  </si>
  <si>
    <t>Fiber-Optic Sensing</t>
  </si>
  <si>
    <t>FATAIREO@OUTLOOK.COM</t>
  </si>
  <si>
    <t>Last RDP update: November, 2024
Leaving for ADP in Aug - 2025</t>
  </si>
  <si>
    <t>EYAD.ALJSHI@ARAMCO.COM 
Personal Email: eyad.jishi@gmail.com</t>
  </si>
  <si>
    <t>Automated techniques in seismic imaging and processing</t>
  </si>
  <si>
    <t>Joined RDP in 2023</t>
  </si>
  <si>
    <t> Part-time KFUPM MS</t>
  </si>
  <si>
    <t>Hussain.Alfayez@aramco.com</t>
  </si>
  <si>
    <t>Ali Alfaraj</t>
  </si>
  <si>
    <t>Seismic Advanced Imaging Solutions with focus on Compressive Sensing</t>
  </si>
  <si>
    <t> Completed PhD</t>
  </si>
  <si>
    <t>ali.alfaraj.2@aramco.com</t>
  </si>
  <si>
    <t>mohammedalmarzoug95@gmail.com</t>
  </si>
  <si>
    <t>Completed PhD, STAD assignment</t>
  </si>
  <si>
    <t>completed PhD in 2019</t>
  </si>
  <si>
    <t>Completed PhD 10-2023, currently acting as GTD CT</t>
  </si>
  <si>
    <t>alqattan747854@gmail.com</t>
  </si>
  <si>
    <t xml:space="preserve">marwah.alismail@gmail.com </t>
  </si>
  <si>
    <t>CURRENTLY IN UCL (UK) PURSUING MS DEGREE</t>
  </si>
  <si>
    <t>Abrar Abbad</t>
  </si>
  <si>
    <t>Quantitative Geosciencet</t>
  </si>
  <si>
    <t>CURRENTLY ENROLLED PART-TIME MS IN KFUPM</t>
  </si>
  <si>
    <t>almahath@aramco.com</t>
  </si>
  <si>
    <t>CURRENTLY IN UT-AUSTIN FOR MS DEGREE</t>
  </si>
  <si>
    <t>alsaif.maram@gmail.com</t>
  </si>
  <si>
    <t>Abdulkareem Alsofi</t>
  </si>
  <si>
    <t>IK Assignment</t>
  </si>
  <si>
    <t>SALEH.HASSAN.4@ARAMCO.COM</t>
  </si>
  <si>
    <t>saleh.komies@aramco.com</t>
  </si>
  <si>
    <t>ahmed.alsmaeil@aramco.com</t>
  </si>
  <si>
    <t>hamoud.alqahtani@kaust.edu.sa</t>
  </si>
  <si>
    <t>hotan@utexas.edu</t>
  </si>
  <si>
    <t>Zuhair Yousif</t>
  </si>
  <si>
    <t>CCUS/CO2 storage</t>
  </si>
  <si>
    <t>Finished MS</t>
  </si>
  <si>
    <t>deena.tayyib@aramco.com</t>
  </si>
  <si>
    <t>mh1995nd@gmail.com</t>
  </si>
  <si>
    <t>Did not finish PhD yet</t>
  </si>
  <si>
    <t>amani.o.alaali@gmail.com</t>
  </si>
  <si>
    <t>sara.abualsaud@aramco.com</t>
  </si>
  <si>
    <t>xupeng.he@aramco.com</t>
  </si>
  <si>
    <t>EIMAN.MUNIF@ARAMCO.COM</t>
  </si>
  <si>
    <t>Ali Al Hubail</t>
  </si>
  <si>
    <t>Currently pursuing MS and PhD KAUST 23 August, 2020</t>
  </si>
  <si>
    <t>OOK ADP</t>
  </si>
  <si>
    <t>ali.alhubail@kaust.edu.sa</t>
  </si>
  <si>
    <t> Khalid Nabulsi (tentative)</t>
  </si>
  <si>
    <t>Currently pursuing MS and  PhD KAUST 23 August, 2020</t>
  </si>
  <si>
    <t>Omar.Alobaid@aramco.com</t>
  </si>
  <si>
    <t>Sustainability</t>
  </si>
  <si>
    <t>15/12/2018</t>
  </si>
  <si>
    <t xml:space="preserve">abeer.alarawi@aramco.com </t>
  </si>
  <si>
    <t>New Phd graduate</t>
  </si>
  <si>
    <t>faris.tulbah@berkeley.edu</t>
  </si>
  <si>
    <t>775479 </t>
  </si>
  <si>
    <t> TBD</t>
  </si>
  <si>
    <t> CCUS Process Modeling</t>
  </si>
  <si>
    <t> M</t>
  </si>
  <si>
    <t> 2019</t>
  </si>
  <si>
    <t> MARWAN.ALMULHIM@ARAMCO.COM</t>
  </si>
  <si>
    <t>AHMAD.ALRASHED@ARAMCO.COM</t>
  </si>
  <si>
    <t>Murtadha AlTammar</t>
  </si>
  <si>
    <t>Petroleum Engineering/AI/ Geomechanics</t>
  </si>
  <si>
    <t>May. 2020</t>
  </si>
  <si>
    <t>Chemicak Engineering</t>
  </si>
  <si>
    <t>Biotechnology</t>
  </si>
  <si>
    <t>25/09/2015</t>
  </si>
  <si>
    <t>abdulla.sarraf@aramco.com</t>
  </si>
  <si>
    <t>Alsharif, Moneera A</t>
  </si>
  <si>
    <t>Hussain Alsalim</t>
  </si>
  <si>
    <t>Computer Science and AI</t>
  </si>
  <si>
    <t>New candidate for 2025</t>
  </si>
  <si>
    <t>MONEERA.ALGHALBI@ARAMCO.COM</t>
  </si>
  <si>
    <t>Ali Aldawood</t>
  </si>
  <si>
    <t xml:space="preserve">Exploration &amp; Near-surface Geophysics </t>
  </si>
  <si>
    <t>Saad, Nouf W</t>
  </si>
  <si>
    <t>Aldughaither, Faisal A</t>
  </si>
  <si>
    <t>Constantinos Tsingas</t>
  </si>
  <si>
    <t>FAISAL.ALRUSHAID.2@ARAMCO.COM</t>
  </si>
  <si>
    <t>NOUF.SAAD@ARAMCO.COM</t>
  </si>
  <si>
    <t>Ernesto Sandoval</t>
  </si>
  <si>
    <t xml:space="preserve">Advanced Near-Surface Characterization </t>
  </si>
  <si>
    <t>Alnaser, Naser S</t>
  </si>
  <si>
    <t>NASER.ALNASER@ARAMCO.COM</t>
  </si>
  <si>
    <t>Currently pursuing PhD - Chemistry in Manchester.</t>
  </si>
  <si>
    <t>ahmed.g.alghizzi@gmail.com</t>
  </si>
  <si>
    <t>Currenlty persuing PhD at Manchester U.</t>
  </si>
  <si>
    <t>Sangaru, Shiv S</t>
  </si>
  <si>
    <t>rima.alfaraj@aramco.com</t>
  </si>
  <si>
    <t>AHMED.DUGHAITHER@ARAMCO.COM</t>
  </si>
  <si>
    <t>hana.matouq@aramco.com</t>
  </si>
  <si>
    <t>mohammed.alabdrabalnabi.1@aramco.com</t>
  </si>
  <si>
    <t>MOHAMMAD.ALSORAYA@ARAMCO.COM</t>
  </si>
  <si>
    <t>wengang.li@aramco.com</t>
  </si>
  <si>
    <t>basmah.alahmadi@aramco.com</t>
  </si>
  <si>
    <t>abdullah.alomier@aramco.com</t>
  </si>
  <si>
    <t xml:space="preserve"> salem.algarni@aramco.com</t>
  </si>
  <si>
    <t>manar.alahmari@aramco.com</t>
  </si>
  <si>
    <t>ABDULAZIZ.SOWAILEM@ARAMCO.COM</t>
  </si>
  <si>
    <t>PHD</t>
  </si>
  <si>
    <t>IK Assignment until 2026</t>
  </si>
  <si>
    <t>Jasim Alqasab</t>
  </si>
  <si>
    <t>Jasem.Alqassab@aramco.com</t>
  </si>
  <si>
    <t>No interest in joining RDP 2026</t>
  </si>
  <si>
    <t>mohammed.alzahrani.10@aramco.com</t>
  </si>
  <si>
    <t>Alqahtani, Naif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</si>
</sst>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m/d/yy;@"/>
    <numFmt numFmtId="166" formatCode="yyyy\-mm\-dd;@"/>
  </numFmts>
  <fonts count="26" x14ac:knownFonts="1">
    <font>
      <sz val="11"/>
      <color theme="1"/>
      <name val="Calibri"/>
      <family val="2"/>
      <scheme val="minor"/>
    </font>
    <font>
      <u/>
      <sz val="11"/>
      <color theme="10"/>
      <name val="Calibri"/>
      <family val="2"/>
      <scheme val="minor"/>
    </font>
    <font>
      <u/>
      <sz val="10"/>
      <color theme="10"/>
      <name val="Arial"/>
      <family val="2"/>
    </font>
    <font>
      <sz val="16"/>
      <color theme="1"/>
      <name val="Calibri"/>
      <family val="2"/>
      <scheme val="minor"/>
    </font>
    <font>
      <sz val="11"/>
      <color rgb="FFFF0000"/>
      <name val="Calibri"/>
      <family val="2"/>
      <scheme val="minor"/>
    </font>
    <font>
      <sz val="11"/>
      <name val="Calibri"/>
      <family val="2"/>
      <scheme val="minor"/>
    </font>
    <font>
      <b/>
      <sz val="11"/>
      <color theme="1"/>
      <name val="Arial"/>
      <family val="2"/>
    </font>
    <font>
      <sz val="12"/>
      <color theme="1"/>
      <name val="Calibri"/>
      <family val="2"/>
      <scheme val="minor"/>
    </font>
    <font>
      <b/>
      <sz val="12"/>
      <color theme="1"/>
      <name val="Calibri"/>
      <family val="2"/>
      <scheme val="minor"/>
    </font>
    <font>
      <sz val="12"/>
      <color theme="1"/>
      <name val="Arial"/>
      <family val="2"/>
    </font>
    <font>
      <sz val="12"/>
      <name val="Calibri"/>
      <family val="2"/>
      <scheme val="minor"/>
    </font>
    <font>
      <b/>
      <sz val="11"/>
      <name val="Calibri"/>
      <family val="2"/>
      <scheme val="minor"/>
    </font>
    <font>
      <sz val="11"/>
      <color rgb="FF000000"/>
      <name val="Calibri"/>
      <family val="2"/>
    </font>
    <font>
      <b/>
      <sz val="12"/>
      <name val="Calibri"/>
      <family val="2"/>
      <scheme val="minor"/>
    </font>
    <font>
      <b/>
      <sz val="11"/>
      <name val="Arial"/>
      <family val="2"/>
    </font>
    <font>
      <sz val="12"/>
      <color theme="1"/>
      <name val="Arial"/>
      <family val="2"/>
    </font>
    <font>
      <sz val="9"/>
      <color indexed="81"/>
      <name val="Tahoma"/>
      <family val="2"/>
    </font>
    <font>
      <b/>
      <sz val="9"/>
      <color indexed="81"/>
      <name val="Tahoma"/>
      <family val="2"/>
    </font>
    <font>
      <b/>
      <sz val="12"/>
      <color rgb="FFFF0000"/>
      <name val="Calibri"/>
      <family val="2"/>
      <scheme val="minor"/>
    </font>
    <font>
      <sz val="14"/>
      <color indexed="81"/>
      <name val="Tahoma"/>
      <family val="2"/>
    </font>
    <font>
      <b/>
      <sz val="14"/>
      <color indexed="81"/>
      <name val="Tahoma"/>
      <family val="2"/>
    </font>
    <font>
      <sz val="12"/>
      <color theme="1"/>
      <name val="Arial"/>
      <family val="2"/>
    </font>
    <font>
      <sz val="11"/>
      <color theme="1"/>
      <name val="Calibri"/>
      <family val="2"/>
    </font>
    <font>
      <u/>
      <sz val="11"/>
      <color theme="1"/>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rgb="FF4472C4"/>
        <bgColor indexed="64"/>
      </patternFill>
    </fill>
    <fill>
      <patternFill patternType="solid">
        <fgColor theme="9" tint="0.59999389629810485"/>
        <bgColor indexed="64"/>
      </patternFill>
    </fill>
    <fill>
      <patternFill patternType="solid">
        <fgColor rgb="FFFF99FF"/>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FFFF00"/>
        <bgColor indexed="64"/>
      </patternFill>
    </fill>
    <fill>
      <patternFill patternType="solid">
        <fgColor rgb="FF99CC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rgb="FFFFFFFF"/>
      </right>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1" fillId="0" borderId="0" applyNumberFormat="0" applyFill="0" applyBorder="0" applyAlignment="0" applyProtection="0"/>
    <xf numFmtId="0" fontId="1" fillId="0" borderId="0" applyNumberFormat="0" applyFill="0" applyBorder="0" applyAlignment="0" applyProtection="0"/>
  </cellStyleXfs>
  <cellXfs count="242">
    <xf numFmtId="0" fontId="0" fillId="0" borderId="0" xfId="0"/>
    <xf numFmtId="0" fontId="0" fillId="0" borderId="0" xfId="0"/>
    <xf numFmtId="0" fontId="0" fillId="6"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7" fillId="8" borderId="4" xfId="0" applyFont="1" applyFill="1" applyBorder="1" applyAlignment="1">
      <alignment horizontal="center" vertical="center" wrapText="1"/>
    </xf>
    <xf numFmtId="165" fontId="7" fillId="8" borderId="4" xfId="0" applyNumberFormat="1" applyFont="1" applyFill="1" applyBorder="1" applyAlignment="1">
      <alignment horizontal="center" vertical="center" wrapText="1"/>
    </xf>
    <xf numFmtId="0" fontId="8" fillId="8" borderId="4" xfId="0" applyFont="1" applyFill="1" applyBorder="1" applyAlignment="1">
      <alignment horizontal="center" vertical="center" wrapText="1"/>
    </xf>
    <xf numFmtId="49" fontId="8" fillId="8" borderId="4" xfId="0" applyNumberFormat="1" applyFont="1" applyFill="1" applyBorder="1" applyAlignment="1">
      <alignment horizontal="center" vertical="center" wrapText="1"/>
    </xf>
    <xf numFmtId="0" fontId="6" fillId="5" borderId="0" xfId="0" applyFont="1" applyFill="1" applyBorder="1" applyAlignment="1">
      <alignment horizontal="center" vertical="center" wrapText="1"/>
    </xf>
    <xf numFmtId="0" fontId="0" fillId="0" borderId="0" xfId="0" applyFont="1" applyAlignment="1">
      <alignment wrapText="1"/>
    </xf>
    <xf numFmtId="0" fontId="7" fillId="8" borderId="7"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11" borderId="5" xfId="0" applyFont="1" applyFill="1" applyBorder="1" applyAlignment="1">
      <alignment horizontal="center" vertical="center" wrapText="1"/>
    </xf>
    <xf numFmtId="0" fontId="5" fillId="11" borderId="1" xfId="0" applyFont="1" applyFill="1" applyBorder="1" applyAlignment="1">
      <alignment horizontal="left" vertical="top" wrapText="1"/>
    </xf>
    <xf numFmtId="0" fontId="5" fillId="11" borderId="1" xfId="0" applyFont="1" applyFill="1" applyBorder="1" applyAlignment="1">
      <alignment horizontal="center" vertical="center" wrapText="1"/>
    </xf>
    <xf numFmtId="49" fontId="5" fillId="6" borderId="1" xfId="0" applyNumberFormat="1"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wrapText="1"/>
    </xf>
    <xf numFmtId="0" fontId="5" fillId="7" borderId="1" xfId="0" applyFont="1" applyFill="1" applyBorder="1" applyAlignment="1">
      <alignment vertical="center" wrapText="1"/>
    </xf>
    <xf numFmtId="0" fontId="5" fillId="7"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vertical="center" wrapText="1"/>
    </xf>
    <xf numFmtId="0" fontId="5" fillId="10" borderId="1" xfId="0" applyFont="1" applyFill="1" applyBorder="1" applyAlignment="1">
      <alignment vertical="center" wrapText="1"/>
    </xf>
    <xf numFmtId="0" fontId="5" fillId="1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165" fontId="5" fillId="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165" fontId="5" fillId="7"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0" fontId="5" fillId="11" borderId="1" xfId="0" applyFont="1" applyFill="1" applyBorder="1" applyAlignment="1">
      <alignment horizontal="left" vertical="center" wrapText="1"/>
    </xf>
    <xf numFmtId="165" fontId="5" fillId="11"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165" fontId="5" fillId="3"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165" fontId="5" fillId="4" borderId="1" xfId="0" applyNumberFormat="1"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left" vertical="top" wrapText="1"/>
    </xf>
    <xf numFmtId="165" fontId="5" fillId="10" borderId="1" xfId="0" applyNumberFormat="1" applyFont="1" applyFill="1" applyBorder="1" applyAlignment="1">
      <alignment horizontal="center" vertical="center" wrapText="1"/>
    </xf>
    <xf numFmtId="49" fontId="5" fillId="10" borderId="1" xfId="0" applyNumberFormat="1" applyFont="1" applyFill="1" applyBorder="1" applyAlignment="1">
      <alignment horizontal="center" vertical="center" wrapText="1"/>
    </xf>
    <xf numFmtId="0" fontId="5" fillId="6" borderId="1" xfId="0" applyFont="1" applyFill="1" applyBorder="1" applyAlignment="1">
      <alignment horizontal="center" wrapText="1"/>
    </xf>
    <xf numFmtId="0" fontId="5" fillId="6" borderId="3" xfId="0" applyFont="1" applyFill="1" applyBorder="1" applyAlignment="1">
      <alignment horizontal="center" wrapText="1"/>
    </xf>
    <xf numFmtId="0" fontId="5" fillId="7" borderId="1" xfId="0" applyFont="1" applyFill="1" applyBorder="1" applyAlignment="1">
      <alignment horizontal="center" wrapText="1"/>
    </xf>
    <xf numFmtId="0" fontId="5" fillId="11" borderId="1" xfId="0" applyFont="1" applyFill="1" applyBorder="1" applyAlignment="1">
      <alignment horizontal="center" wrapText="1"/>
    </xf>
    <xf numFmtId="0" fontId="5" fillId="11" borderId="3" xfId="0" applyFont="1"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5" fillId="4" borderId="3" xfId="0" applyFont="1" applyFill="1" applyBorder="1" applyAlignment="1">
      <alignment horizontal="center" wrapText="1"/>
    </xf>
    <xf numFmtId="0" fontId="5" fillId="10" borderId="1" xfId="0" applyFont="1" applyFill="1" applyBorder="1" applyAlignment="1">
      <alignment horizontal="center" wrapText="1"/>
    </xf>
    <xf numFmtId="0" fontId="5" fillId="10" borderId="3" xfId="0" applyFont="1" applyFill="1" applyBorder="1" applyAlignment="1">
      <alignment horizontal="center" wrapText="1"/>
    </xf>
    <xf numFmtId="14" fontId="5" fillId="10" borderId="1" xfId="0" applyNumberFormat="1" applyFont="1" applyFill="1" applyBorder="1" applyAlignment="1">
      <alignment horizontal="center" vertical="center" wrapText="1"/>
    </xf>
    <xf numFmtId="14" fontId="5" fillId="11" borderId="1" xfId="0" applyNumberFormat="1" applyFont="1" applyFill="1" applyBorder="1" applyAlignment="1">
      <alignment horizontal="center" vertical="center" wrapText="1"/>
    </xf>
    <xf numFmtId="166" fontId="5" fillId="7" borderId="1" xfId="0" applyNumberFormat="1" applyFont="1" applyFill="1" applyBorder="1" applyAlignment="1">
      <alignment vertical="top" wrapText="1"/>
    </xf>
    <xf numFmtId="0" fontId="7" fillId="8" borderId="4" xfId="0" applyFont="1" applyFill="1" applyBorder="1" applyAlignment="1">
      <alignment horizontal="left" vertical="center" wrapText="1"/>
    </xf>
    <xf numFmtId="0" fontId="5" fillId="7" borderId="1" xfId="0" applyFont="1" applyFill="1" applyBorder="1" applyAlignment="1">
      <alignment horizontal="left" wrapText="1"/>
    </xf>
    <xf numFmtId="0" fontId="5" fillId="3" borderId="3" xfId="0" applyFont="1" applyFill="1" applyBorder="1" applyAlignment="1">
      <alignment horizontal="center" wrapText="1"/>
    </xf>
    <xf numFmtId="0" fontId="5" fillId="6" borderId="0" xfId="0" applyFont="1" applyFill="1" applyBorder="1" applyAlignment="1">
      <alignment horizontal="center" wrapText="1"/>
    </xf>
    <xf numFmtId="14" fontId="5" fillId="10" borderId="2" xfId="0" applyNumberFormat="1" applyFont="1" applyFill="1" applyBorder="1" applyAlignment="1">
      <alignment horizontal="center" vertical="center" wrapText="1"/>
    </xf>
    <xf numFmtId="14" fontId="5" fillId="6" borderId="2" xfId="0" applyNumberFormat="1" applyFont="1" applyFill="1" applyBorder="1" applyAlignment="1">
      <alignment horizontal="center" vertical="center" wrapText="1"/>
    </xf>
    <xf numFmtId="14" fontId="5" fillId="4" borderId="2" xfId="0" applyNumberFormat="1" applyFont="1" applyFill="1" applyBorder="1" applyAlignment="1">
      <alignment horizontal="center" vertical="center" wrapText="1"/>
    </xf>
    <xf numFmtId="0" fontId="15" fillId="2" borderId="10"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11" borderId="1" xfId="0" applyNumberFormat="1" applyFont="1" applyFill="1" applyBorder="1" applyAlignment="1">
      <alignment horizontal="center" vertical="center" wrapText="1"/>
    </xf>
    <xf numFmtId="0" fontId="5" fillId="7" borderId="1" xfId="0" applyNumberFormat="1" applyFont="1" applyFill="1" applyBorder="1" applyAlignment="1">
      <alignment horizontal="center" vertical="center" wrapText="1"/>
    </xf>
    <xf numFmtId="0" fontId="5" fillId="6" borderId="1" xfId="0" applyNumberFormat="1" applyFont="1" applyFill="1" applyBorder="1" applyAlignment="1">
      <alignment horizontal="center" vertical="center" wrapText="1"/>
    </xf>
    <xf numFmtId="0" fontId="0" fillId="0" borderId="0" xfId="0" applyFont="1" applyAlignment="1">
      <alignment horizontal="center" vertical="center" wrapText="1"/>
    </xf>
    <xf numFmtId="0" fontId="5" fillId="6" borderId="8" xfId="0" applyFont="1" applyFill="1" applyBorder="1" applyAlignment="1">
      <alignment wrapText="1"/>
    </xf>
    <xf numFmtId="0" fontId="5" fillId="0" borderId="0" xfId="0" applyFont="1" applyAlignment="1">
      <alignment wrapText="1"/>
    </xf>
    <xf numFmtId="0" fontId="5" fillId="10" borderId="1" xfId="0" applyNumberFormat="1" applyFont="1" applyFill="1" applyBorder="1" applyAlignment="1">
      <alignment horizontal="center" vertical="center" wrapText="1"/>
    </xf>
    <xf numFmtId="0" fontId="5" fillId="10" borderId="8" xfId="0" applyFont="1" applyFill="1" applyBorder="1" applyAlignment="1">
      <alignment vertical="center" wrapText="1"/>
    </xf>
    <xf numFmtId="0" fontId="5" fillId="3" borderId="1" xfId="0" applyNumberFormat="1" applyFont="1" applyFill="1" applyBorder="1" applyAlignment="1">
      <alignment horizontal="center" vertical="center" wrapText="1"/>
    </xf>
    <xf numFmtId="0" fontId="5" fillId="3" borderId="8" xfId="0" applyFont="1" applyFill="1" applyBorder="1" applyAlignment="1">
      <alignment wrapText="1"/>
    </xf>
    <xf numFmtId="14" fontId="10" fillId="10" borderId="1" xfId="0" applyNumberFormat="1" applyFont="1" applyFill="1" applyBorder="1" applyAlignment="1">
      <alignment horizontal="center" vertical="center" wrapText="1"/>
    </xf>
    <xf numFmtId="14" fontId="10" fillId="7" borderId="1" xfId="0" applyNumberFormat="1" applyFont="1" applyFill="1" applyBorder="1" applyAlignment="1">
      <alignment horizontal="center" vertical="center" wrapText="1"/>
    </xf>
    <xf numFmtId="0" fontId="5" fillId="7" borderId="8" xfId="0" applyFont="1" applyFill="1" applyBorder="1" applyAlignment="1">
      <alignment wrapText="1"/>
    </xf>
    <xf numFmtId="14" fontId="10" fillId="6" borderId="1" xfId="0" applyNumberFormat="1" applyFont="1" applyFill="1" applyBorder="1" applyAlignment="1">
      <alignment horizontal="center" vertical="center" wrapText="1"/>
    </xf>
    <xf numFmtId="0" fontId="5" fillId="5" borderId="0" xfId="0" applyFont="1" applyFill="1" applyAlignment="1">
      <alignment wrapText="1"/>
    </xf>
    <xf numFmtId="0" fontId="5" fillId="3" borderId="1" xfId="0" applyFont="1" applyFill="1" applyBorder="1" applyAlignment="1">
      <alignment wrapText="1"/>
    </xf>
    <xf numFmtId="0" fontId="5" fillId="10" borderId="1" xfId="0" applyFont="1" applyFill="1" applyBorder="1" applyAlignment="1">
      <alignment wrapText="1"/>
    </xf>
    <xf numFmtId="0" fontId="5" fillId="11" borderId="1" xfId="0" applyFont="1" applyFill="1" applyBorder="1" applyAlignment="1">
      <alignment wrapText="1"/>
    </xf>
    <xf numFmtId="0" fontId="5" fillId="11" borderId="8" xfId="0" applyFont="1" applyFill="1" applyBorder="1" applyAlignment="1">
      <alignment wrapText="1"/>
    </xf>
    <xf numFmtId="0" fontId="5" fillId="4" borderId="1" xfId="0" applyFont="1" applyFill="1" applyBorder="1" applyAlignment="1">
      <alignment wrapText="1"/>
    </xf>
    <xf numFmtId="0" fontId="5" fillId="6" borderId="0" xfId="0" applyFont="1" applyFill="1" applyAlignment="1">
      <alignment wrapText="1"/>
    </xf>
    <xf numFmtId="0" fontId="5" fillId="6" borderId="1" xfId="0" applyFont="1" applyFill="1" applyBorder="1" applyAlignment="1">
      <alignment wrapText="1"/>
    </xf>
    <xf numFmtId="14" fontId="5" fillId="6" borderId="1" xfId="0" applyNumberFormat="1" applyFont="1" applyFill="1" applyBorder="1" applyAlignment="1">
      <alignment horizontal="center" wrapText="1"/>
    </xf>
    <xf numFmtId="14" fontId="10" fillId="11" borderId="1" xfId="0" applyNumberFormat="1" applyFont="1" applyFill="1" applyBorder="1" applyAlignment="1">
      <alignment horizontal="center" vertical="center" wrapText="1"/>
    </xf>
    <xf numFmtId="0" fontId="5" fillId="0" borderId="0" xfId="0" applyFont="1" applyAlignment="1">
      <alignment vertical="center" wrapText="1"/>
    </xf>
    <xf numFmtId="0" fontId="5" fillId="4" borderId="0" xfId="0" applyFont="1" applyFill="1" applyAlignment="1">
      <alignment vertical="center" wrapText="1"/>
    </xf>
    <xf numFmtId="0" fontId="5" fillId="10" borderId="0" xfId="0" applyFont="1" applyFill="1" applyAlignment="1">
      <alignment wrapText="1"/>
    </xf>
    <xf numFmtId="0" fontId="0" fillId="0" borderId="0" xfId="0" applyFont="1" applyAlignment="1">
      <alignment horizontal="center" wrapText="1"/>
    </xf>
    <xf numFmtId="164" fontId="0" fillId="0" borderId="0" xfId="0" applyNumberFormat="1" applyFont="1" applyAlignment="1">
      <alignment horizontal="left" vertical="top" wrapText="1"/>
    </xf>
    <xf numFmtId="0" fontId="0" fillId="0" borderId="0" xfId="0" applyFont="1" applyAlignment="1">
      <alignment horizontal="left" vertical="top" wrapText="1"/>
    </xf>
    <xf numFmtId="164" fontId="0" fillId="0" borderId="0" xfId="0" applyNumberFormat="1" applyFont="1" applyAlignment="1">
      <alignment horizontal="center" vertical="center" wrapText="1"/>
    </xf>
    <xf numFmtId="165" fontId="0" fillId="0" borderId="0" xfId="0" applyNumberFormat="1" applyFont="1" applyAlignment="1">
      <alignment horizontal="center" vertical="center" wrapText="1"/>
    </xf>
    <xf numFmtId="49" fontId="0" fillId="0" borderId="0" xfId="0" applyNumberFormat="1" applyFont="1" applyAlignment="1">
      <alignment horizontal="center" wrapText="1"/>
    </xf>
    <xf numFmtId="0" fontId="0" fillId="0" borderId="0" xfId="0" applyFont="1" applyAlignment="1">
      <alignment horizontal="left" wrapText="1"/>
    </xf>
    <xf numFmtId="0" fontId="3"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horizontal="left" vertical="top" wrapText="1"/>
    </xf>
    <xf numFmtId="0" fontId="6" fillId="5" borderId="0" xfId="0" applyNumberFormat="1" applyFont="1" applyFill="1" applyBorder="1" applyAlignment="1">
      <alignment horizontal="center" vertical="center" wrapText="1"/>
    </xf>
    <xf numFmtId="0" fontId="5" fillId="11" borderId="1" xfId="0" applyFont="1" applyFill="1" applyBorder="1" applyAlignment="1">
      <alignment horizontal="left" wrapText="1"/>
    </xf>
    <xf numFmtId="14" fontId="5" fillId="10" borderId="9" xfId="0" applyNumberFormat="1" applyFont="1" applyFill="1" applyBorder="1" applyAlignment="1">
      <alignment horizontal="center" vertical="center" wrapText="1"/>
    </xf>
    <xf numFmtId="14" fontId="14" fillId="11" borderId="1" xfId="0" applyNumberFormat="1" applyFont="1" applyFill="1" applyBorder="1" applyAlignment="1">
      <alignment horizontal="center" vertical="center" wrapText="1"/>
    </xf>
    <xf numFmtId="0" fontId="5" fillId="4" borderId="8" xfId="0" applyFont="1" applyFill="1" applyBorder="1" applyAlignment="1">
      <alignment wrapText="1"/>
    </xf>
    <xf numFmtId="0" fontId="0" fillId="3" borderId="1" xfId="0" applyFont="1" applyFill="1" applyBorder="1" applyAlignment="1">
      <alignment horizontal="left" vertical="center" wrapText="1"/>
    </xf>
    <xf numFmtId="0" fontId="0" fillId="10" borderId="1" xfId="0" applyFont="1" applyFill="1" applyBorder="1" applyAlignment="1">
      <alignment horizontal="left" vertical="center" wrapText="1"/>
    </xf>
    <xf numFmtId="14" fontId="5" fillId="10" borderId="0" xfId="0" applyNumberFormat="1" applyFont="1" applyFill="1" applyBorder="1" applyAlignment="1">
      <alignment horizontal="center" vertical="center" wrapText="1"/>
    </xf>
    <xf numFmtId="0" fontId="5" fillId="10" borderId="0" xfId="0" applyFont="1" applyFill="1" applyBorder="1" applyAlignment="1">
      <alignment horizontal="center" vertical="center" wrapText="1"/>
    </xf>
    <xf numFmtId="0" fontId="5" fillId="10" borderId="0" xfId="0" applyFont="1" applyFill="1" applyBorder="1" applyAlignment="1">
      <alignment horizontal="left" vertical="center" wrapText="1"/>
    </xf>
    <xf numFmtId="0" fontId="5" fillId="10" borderId="0" xfId="0" applyFont="1" applyFill="1" applyBorder="1" applyAlignment="1">
      <alignment horizontal="left" vertical="top" wrapText="1"/>
    </xf>
    <xf numFmtId="165" fontId="5" fillId="10" borderId="0" xfId="0" applyNumberFormat="1" applyFont="1" applyFill="1" applyBorder="1" applyAlignment="1">
      <alignment horizontal="center" vertical="center" wrapText="1"/>
    </xf>
    <xf numFmtId="0" fontId="5" fillId="10" borderId="0" xfId="0" applyFont="1" applyFill="1" applyBorder="1" applyAlignment="1">
      <alignment horizontal="center" wrapText="1"/>
    </xf>
    <xf numFmtId="0" fontId="5" fillId="10" borderId="0" xfId="0" applyNumberFormat="1" applyFont="1" applyFill="1" applyBorder="1" applyAlignment="1">
      <alignment horizontal="center" vertical="center" wrapText="1"/>
    </xf>
    <xf numFmtId="0" fontId="5" fillId="10" borderId="0" xfId="0" applyFont="1" applyFill="1" applyBorder="1" applyAlignment="1">
      <alignment vertical="center" wrapText="1"/>
    </xf>
    <xf numFmtId="0" fontId="7" fillId="8" borderId="0" xfId="0" applyFont="1" applyFill="1" applyBorder="1" applyAlignment="1">
      <alignment horizontal="center" vertical="center" wrapText="1"/>
    </xf>
    <xf numFmtId="0" fontId="5" fillId="11" borderId="2" xfId="0" applyFont="1" applyFill="1" applyBorder="1" applyAlignment="1">
      <alignment horizontal="center" wrapText="1"/>
    </xf>
    <xf numFmtId="14" fontId="11" fillId="6" borderId="1" xfId="0" applyNumberFormat="1" applyFont="1" applyFill="1" applyBorder="1" applyAlignment="1">
      <alignment horizontal="center" vertical="center" wrapText="1"/>
    </xf>
    <xf numFmtId="14" fontId="5" fillId="11" borderId="2" xfId="0" applyNumberFormat="1" applyFont="1" applyFill="1" applyBorder="1" applyAlignment="1">
      <alignment horizontal="center" vertical="center" wrapText="1"/>
    </xf>
    <xf numFmtId="0" fontId="1" fillId="10" borderId="3" xfId="3" applyFill="1" applyBorder="1" applyAlignment="1">
      <alignment horizont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left" vertical="top" wrapText="1"/>
    </xf>
    <xf numFmtId="165" fontId="4" fillId="10" borderId="0" xfId="0" applyNumberFormat="1" applyFont="1" applyFill="1" applyBorder="1" applyAlignment="1">
      <alignment horizontal="left" vertical="center" wrapText="1"/>
    </xf>
    <xf numFmtId="14" fontId="10" fillId="3" borderId="1" xfId="0" applyNumberFormat="1" applyFont="1" applyFill="1" applyBorder="1" applyAlignment="1">
      <alignment horizontal="center" vertical="center" wrapText="1"/>
    </xf>
    <xf numFmtId="0" fontId="0" fillId="0" borderId="0" xfId="0" applyNumberFormat="1" applyFont="1" applyAlignment="1">
      <alignment horizontal="center" wrapText="1"/>
    </xf>
    <xf numFmtId="0" fontId="0" fillId="7" borderId="1" xfId="0" applyFont="1" applyFill="1" applyBorder="1" applyAlignment="1">
      <alignment horizontal="center" wrapText="1"/>
    </xf>
    <xf numFmtId="0" fontId="5" fillId="11" borderId="8" xfId="0" applyFont="1" applyFill="1" applyBorder="1" applyAlignment="1">
      <alignment horizontal="left" vertical="center" wrapText="1"/>
    </xf>
    <xf numFmtId="14" fontId="10" fillId="3" borderId="2" xfId="0" applyNumberFormat="1" applyFont="1" applyFill="1" applyBorder="1" applyAlignment="1">
      <alignment horizontal="center" vertical="center" wrapText="1"/>
    </xf>
    <xf numFmtId="14" fontId="4" fillId="11" borderId="1" xfId="0" applyNumberFormat="1" applyFont="1" applyFill="1" applyBorder="1" applyAlignment="1">
      <alignment horizontal="center" vertical="center" wrapText="1"/>
    </xf>
    <xf numFmtId="0" fontId="5" fillId="11" borderId="2" xfId="0" applyFont="1" applyFill="1" applyBorder="1" applyAlignment="1">
      <alignment horizontal="center" vertical="center" wrapText="1"/>
    </xf>
    <xf numFmtId="14" fontId="11" fillId="10" borderId="1" xfId="0" applyNumberFormat="1" applyFont="1" applyFill="1" applyBorder="1" applyAlignment="1">
      <alignment horizontal="center" vertical="center" wrapText="1"/>
    </xf>
    <xf numFmtId="0" fontId="1" fillId="11" borderId="3" xfId="3" applyFill="1" applyBorder="1" applyAlignment="1">
      <alignment horizontal="center" wrapText="1"/>
    </xf>
    <xf numFmtId="0" fontId="21" fillId="2" borderId="10"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wrapText="1"/>
    </xf>
    <xf numFmtId="0" fontId="5" fillId="4"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1" fillId="7" borderId="1" xfId="3" applyFill="1" applyBorder="1" applyAlignment="1">
      <alignment horizontal="center" wrapText="1"/>
    </xf>
    <xf numFmtId="0" fontId="1" fillId="7" borderId="3" xfId="3" applyFill="1" applyBorder="1" applyAlignment="1">
      <alignment horizontal="center" wrapText="1"/>
    </xf>
    <xf numFmtId="0" fontId="1" fillId="11" borderId="1" xfId="3" applyFill="1" applyBorder="1" applyAlignment="1">
      <alignment horizontal="center" wrapText="1"/>
    </xf>
    <xf numFmtId="17" fontId="5" fillId="11" borderId="1" xfId="0" applyNumberFormat="1" applyFont="1" applyFill="1" applyBorder="1" applyAlignment="1">
      <alignment horizontal="center" vertical="center" wrapText="1"/>
    </xf>
    <xf numFmtId="0" fontId="1" fillId="3" borderId="1" xfId="3" applyFill="1" applyBorder="1" applyAlignment="1">
      <alignment horizontal="center" wrapText="1"/>
    </xf>
    <xf numFmtId="0" fontId="1" fillId="10" borderId="1" xfId="3" applyFill="1" applyBorder="1" applyAlignment="1">
      <alignment horizontal="center" wrapText="1"/>
    </xf>
    <xf numFmtId="0" fontId="1" fillId="10" borderId="1" xfId="3" applyFill="1" applyBorder="1" applyAlignment="1">
      <alignment horizontal="center" vertical="center" wrapText="1"/>
    </xf>
    <xf numFmtId="0" fontId="1" fillId="4" borderId="1" xfId="3" applyFill="1" applyBorder="1" applyAlignment="1">
      <alignment horizontal="center" vertical="center" wrapText="1"/>
    </xf>
    <xf numFmtId="0" fontId="22" fillId="4" borderId="1" xfId="0" applyFont="1" applyFill="1" applyBorder="1" applyAlignment="1">
      <alignment vertical="center" wrapText="1"/>
    </xf>
    <xf numFmtId="0" fontId="22" fillId="4" borderId="1" xfId="0" applyFont="1" applyFill="1" applyBorder="1" applyAlignment="1">
      <alignment horizontal="center" vertical="center" wrapText="1"/>
    </xf>
    <xf numFmtId="0" fontId="1" fillId="4" borderId="1" xfId="3" applyFill="1" applyBorder="1" applyAlignment="1">
      <alignment horizontal="center" wrapText="1"/>
    </xf>
    <xf numFmtId="0" fontId="22" fillId="9" borderId="1" xfId="0" applyFont="1" applyFill="1" applyBorder="1" applyAlignment="1">
      <alignment vertical="center" wrapText="1"/>
    </xf>
    <xf numFmtId="0" fontId="12" fillId="4" borderId="1" xfId="0" applyFont="1" applyFill="1" applyBorder="1" applyAlignment="1">
      <alignment vertical="center" wrapText="1"/>
    </xf>
    <xf numFmtId="0" fontId="5" fillId="4" borderId="8" xfId="0" applyFont="1" applyFill="1" applyBorder="1" applyAlignment="1">
      <alignment horizontal="left" vertical="center" wrapText="1"/>
    </xf>
    <xf numFmtId="14" fontId="7" fillId="4" borderId="1" xfId="0" applyNumberFormat="1" applyFont="1" applyFill="1" applyBorder="1" applyAlignment="1">
      <alignment horizontal="center" vertical="center" wrapText="1"/>
    </xf>
    <xf numFmtId="14" fontId="23" fillId="4" borderId="1" xfId="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1" fillId="6" borderId="3" xfId="3" applyFill="1" applyBorder="1" applyAlignment="1">
      <alignment horizontal="center" wrapText="1"/>
    </xf>
    <xf numFmtId="0" fontId="1" fillId="6" borderId="1" xfId="3" applyFill="1" applyBorder="1" applyAlignment="1">
      <alignment horizontal="center" wrapText="1"/>
    </xf>
    <xf numFmtId="0" fontId="5" fillId="6" borderId="5" xfId="0" applyFont="1" applyFill="1" applyBorder="1" applyAlignment="1">
      <alignment horizontal="center" vertical="center" wrapText="1"/>
    </xf>
    <xf numFmtId="0" fontId="5" fillId="11" borderId="5" xfId="0" applyFont="1" applyFill="1" applyBorder="1" applyAlignment="1">
      <alignment horizontal="left" vertical="center" wrapText="1"/>
    </xf>
    <xf numFmtId="0" fontId="0" fillId="10" borderId="1" xfId="0" applyFont="1" applyFill="1" applyBorder="1" applyAlignment="1">
      <alignment horizontal="center" vertical="center" wrapText="1"/>
    </xf>
    <xf numFmtId="0" fontId="0" fillId="10" borderId="1" xfId="0" applyFont="1" applyFill="1" applyBorder="1" applyAlignment="1">
      <alignment horizontal="left" vertical="top" wrapText="1"/>
    </xf>
    <xf numFmtId="0" fontId="5" fillId="4"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165" fontId="0" fillId="10" borderId="1" xfId="0" applyNumberFormat="1" applyFont="1" applyFill="1" applyBorder="1" applyAlignment="1">
      <alignment horizontal="center" vertical="center" wrapText="1"/>
    </xf>
    <xf numFmtId="165" fontId="0" fillId="10" borderId="1" xfId="0" applyNumberFormat="1" applyFont="1" applyFill="1" applyBorder="1" applyAlignment="1">
      <alignment horizontal="left" vertical="center" wrapText="1"/>
    </xf>
    <xf numFmtId="0" fontId="1" fillId="0" borderId="1" xfId="3" applyBorder="1"/>
    <xf numFmtId="0" fontId="1" fillId="11" borderId="0" xfId="3" applyFill="1" applyBorder="1" applyAlignment="1">
      <alignment horizontal="center" wrapText="1"/>
    </xf>
    <xf numFmtId="14" fontId="10" fillId="6" borderId="2" xfId="0" applyNumberFormat="1" applyFont="1" applyFill="1" applyBorder="1" applyAlignment="1">
      <alignment horizontal="center" vertical="center" wrapText="1"/>
    </xf>
    <xf numFmtId="14" fontId="10" fillId="11" borderId="1" xfId="0" applyNumberFormat="1" applyFont="1" applyFill="1" applyBorder="1" applyAlignment="1">
      <alignment horizontal="left" vertical="center" wrapText="1"/>
    </xf>
    <xf numFmtId="0" fontId="5" fillId="11" borderId="2" xfId="0" applyFont="1" applyFill="1" applyBorder="1" applyAlignment="1">
      <alignment horizontal="left" vertical="center" wrapText="1"/>
    </xf>
    <xf numFmtId="14" fontId="11" fillId="6" borderId="2" xfId="0" applyNumberFormat="1" applyFont="1" applyFill="1" applyBorder="1" applyAlignment="1">
      <alignment horizontal="center" vertical="center" wrapText="1"/>
    </xf>
    <xf numFmtId="14" fontId="14" fillId="11" borderId="2" xfId="0" applyNumberFormat="1" applyFont="1" applyFill="1" applyBorder="1" applyAlignment="1">
      <alignment horizontal="center" vertical="center" wrapText="1"/>
    </xf>
    <xf numFmtId="0" fontId="5" fillId="4" borderId="9" xfId="0" applyFont="1" applyFill="1" applyBorder="1" applyAlignment="1">
      <alignment horizontal="center" vertical="center" wrapText="1"/>
    </xf>
    <xf numFmtId="14" fontId="5" fillId="4" borderId="9" xfId="0" applyNumberFormat="1" applyFont="1" applyFill="1" applyBorder="1" applyAlignment="1">
      <alignment horizontal="center" vertical="center" wrapText="1"/>
    </xf>
    <xf numFmtId="0" fontId="5" fillId="4" borderId="8" xfId="0" applyFont="1" applyFill="1" applyBorder="1" applyAlignment="1">
      <alignment vertical="center" wrapText="1"/>
    </xf>
    <xf numFmtId="0" fontId="5" fillId="4" borderId="5" xfId="0" applyFont="1" applyFill="1" applyBorder="1" applyAlignment="1">
      <alignment wrapText="1"/>
    </xf>
    <xf numFmtId="14" fontId="0" fillId="4" borderId="1" xfId="0" applyNumberFormat="1" applyFont="1" applyFill="1" applyBorder="1" applyAlignment="1">
      <alignment horizontal="center"/>
    </xf>
    <xf numFmtId="0" fontId="5" fillId="10" borderId="8" xfId="0" applyFont="1" applyFill="1" applyBorder="1" applyAlignment="1">
      <alignment horizontal="center" vertical="center" wrapText="1"/>
    </xf>
    <xf numFmtId="0" fontId="5" fillId="10" borderId="8" xfId="0" applyFont="1" applyFill="1" applyBorder="1" applyAlignment="1">
      <alignment horizontal="left" vertical="center" wrapText="1"/>
    </xf>
    <xf numFmtId="0" fontId="5" fillId="10"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17" fontId="5" fillId="4" borderId="1" xfId="0" applyNumberFormat="1" applyFont="1" applyFill="1" applyBorder="1" applyAlignment="1">
      <alignment horizontal="center" vertical="center" wrapText="1"/>
    </xf>
    <xf numFmtId="14" fontId="10" fillId="7" borderId="2" xfId="0" applyNumberFormat="1" applyFont="1" applyFill="1" applyBorder="1" applyAlignment="1">
      <alignment horizontal="center" vertical="center" wrapText="1"/>
    </xf>
    <xf numFmtId="14" fontId="5" fillId="7" borderId="1" xfId="0" applyNumberFormat="1" applyFont="1" applyFill="1" applyBorder="1" applyAlignment="1">
      <alignment horizontal="center" wrapText="1"/>
    </xf>
    <xf numFmtId="0" fontId="5" fillId="7" borderId="2" xfId="0" applyFont="1" applyFill="1" applyBorder="1" applyAlignment="1">
      <alignment horizontal="center" vertical="center" wrapText="1"/>
    </xf>
    <xf numFmtId="14" fontId="5" fillId="11" borderId="9" xfId="0" applyNumberFormat="1" applyFont="1" applyFill="1" applyBorder="1" applyAlignment="1">
      <alignment horizontal="center" vertical="center" wrapText="1"/>
    </xf>
    <xf numFmtId="14" fontId="5" fillId="9"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wrapText="1"/>
    </xf>
    <xf numFmtId="0" fontId="1" fillId="4" borderId="3" xfId="3" applyFill="1" applyBorder="1" applyAlignment="1">
      <alignment vertical="center" wrapText="1"/>
    </xf>
    <xf numFmtId="0" fontId="5" fillId="4" borderId="9" xfId="0" applyFont="1" applyFill="1" applyBorder="1" applyAlignment="1">
      <alignment horizontal="left" vertical="center" wrapText="1"/>
    </xf>
    <xf numFmtId="14" fontId="5" fillId="6" borderId="1" xfId="0" applyNumberFormat="1" applyFont="1" applyFill="1" applyBorder="1" applyAlignment="1">
      <alignment horizontal="center"/>
    </xf>
    <xf numFmtId="0" fontId="0" fillId="4" borderId="5" xfId="0" applyFont="1" applyFill="1" applyBorder="1" applyAlignment="1">
      <alignment horizontal="left" vertical="center" wrapText="1"/>
    </xf>
    <xf numFmtId="14" fontId="10" fillId="4" borderId="1" xfId="0" applyNumberFormat="1" applyFont="1" applyFill="1" applyBorder="1" applyAlignment="1">
      <alignment horizontal="center" vertical="center" wrapText="1"/>
    </xf>
    <xf numFmtId="0" fontId="5" fillId="6" borderId="5" xfId="0" applyFont="1" applyFill="1" applyBorder="1" applyAlignment="1">
      <alignment horizontal="left" vertical="center" wrapText="1"/>
    </xf>
    <xf numFmtId="0" fontId="5" fillId="11" borderId="5" xfId="0" applyFont="1" applyFill="1" applyBorder="1" applyAlignment="1">
      <alignment horizontal="left" vertical="top" wrapText="1"/>
    </xf>
    <xf numFmtId="0" fontId="5" fillId="6" borderId="5" xfId="0" applyFont="1" applyFill="1" applyBorder="1" applyAlignment="1">
      <alignment horizontal="left" vertical="top" wrapText="1"/>
    </xf>
    <xf numFmtId="165" fontId="5" fillId="6" borderId="5" xfId="0" applyNumberFormat="1" applyFont="1" applyFill="1" applyBorder="1" applyAlignment="1">
      <alignment horizontal="center" vertical="center" wrapText="1"/>
    </xf>
    <xf numFmtId="14" fontId="5" fillId="11" borderId="5" xfId="0" applyNumberFormat="1" applyFont="1" applyFill="1" applyBorder="1" applyAlignment="1">
      <alignment horizontal="center" vertical="center" wrapText="1"/>
    </xf>
    <xf numFmtId="0" fontId="5" fillId="10" borderId="1" xfId="0" applyFont="1" applyFill="1" applyBorder="1" applyAlignment="1">
      <alignment horizontal="left" wrapText="1"/>
    </xf>
    <xf numFmtId="0" fontId="4" fillId="9" borderId="5" xfId="0" applyFont="1" applyFill="1" applyBorder="1" applyAlignment="1">
      <alignment horizontal="left" vertical="center" wrapText="1"/>
    </xf>
    <xf numFmtId="0" fontId="5" fillId="11" borderId="11" xfId="0" applyFont="1" applyFill="1" applyBorder="1" applyAlignment="1">
      <alignment horizontal="center" wrapText="1"/>
    </xf>
    <xf numFmtId="0" fontId="1" fillId="4" borderId="3" xfId="3" applyFill="1" applyBorder="1" applyAlignment="1">
      <alignment horizontal="center" wrapText="1"/>
    </xf>
    <xf numFmtId="0" fontId="1" fillId="11" borderId="6" xfId="3" applyFill="1" applyBorder="1" applyAlignment="1">
      <alignment horizontal="center" wrapText="1"/>
    </xf>
    <xf numFmtId="0" fontId="1" fillId="4" borderId="3" xfId="3" applyFill="1" applyBorder="1" applyAlignment="1">
      <alignment horizontal="center" vertical="center" wrapText="1"/>
    </xf>
    <xf numFmtId="0" fontId="1" fillId="6" borderId="6" xfId="3" applyFill="1" applyBorder="1" applyAlignment="1">
      <alignment horizontal="center" wrapText="1"/>
    </xf>
    <xf numFmtId="14" fontId="1" fillId="4" borderId="1" xfId="3" applyNumberFormat="1" applyFill="1" applyBorder="1" applyAlignment="1">
      <alignment horizontal="center" vertical="center" wrapText="1"/>
    </xf>
    <xf numFmtId="0" fontId="5" fillId="11" borderId="9" xfId="0" applyFont="1" applyFill="1" applyBorder="1" applyAlignment="1">
      <alignment horizontal="center" vertical="center" wrapText="1"/>
    </xf>
    <xf numFmtId="14" fontId="10" fillId="6" borderId="9" xfId="0" applyNumberFormat="1" applyFont="1" applyFill="1" applyBorder="1" applyAlignment="1">
      <alignment horizontal="center" vertical="center" wrapText="1"/>
    </xf>
    <xf numFmtId="0" fontId="5" fillId="11" borderId="9" xfId="0" applyFont="1" applyFill="1" applyBorder="1" applyAlignment="1">
      <alignment horizontal="left" vertical="center" wrapText="1"/>
    </xf>
    <xf numFmtId="0" fontId="5" fillId="10" borderId="1" xfId="0" applyNumberFormat="1" applyFont="1" applyFill="1" applyBorder="1" applyAlignment="1">
      <alignment horizontal="center" wrapText="1"/>
    </xf>
    <xf numFmtId="0" fontId="5" fillId="6" borderId="5" xfId="0" applyNumberFormat="1" applyFont="1" applyFill="1" applyBorder="1" applyAlignment="1">
      <alignment horizontal="center" vertical="center" wrapText="1"/>
    </xf>
    <xf numFmtId="14" fontId="18" fillId="6" borderId="1" xfId="0" applyNumberFormat="1" applyFont="1" applyFill="1" applyBorder="1" applyAlignment="1">
      <alignment horizontal="center" vertical="center" wrapText="1"/>
    </xf>
    <xf numFmtId="14" fontId="13" fillId="6" borderId="2" xfId="0" applyNumberFormat="1" applyFont="1" applyFill="1" applyBorder="1" applyAlignment="1">
      <alignment horizontal="center" vertical="center" wrapText="1"/>
    </xf>
    <xf numFmtId="14" fontId="5" fillId="6" borderId="9" xfId="0" applyNumberFormat="1" applyFont="1" applyFill="1" applyBorder="1" applyAlignment="1">
      <alignment horizontal="center" vertical="center" wrapText="1"/>
    </xf>
    <xf numFmtId="14" fontId="5" fillId="7" borderId="2" xfId="0" applyNumberFormat="1" applyFont="1" applyFill="1" applyBorder="1" applyAlignment="1">
      <alignment horizontal="center" wrapText="1"/>
    </xf>
    <xf numFmtId="0" fontId="5" fillId="6" borderId="9" xfId="0" applyFont="1" applyFill="1" applyBorder="1" applyAlignment="1">
      <alignment horizontal="center" vertical="center" wrapText="1"/>
    </xf>
    <xf numFmtId="14" fontId="5" fillId="6" borderId="2" xfId="0" applyNumberFormat="1" applyFont="1" applyFill="1" applyBorder="1" applyAlignment="1">
      <alignment horizontal="center" wrapText="1"/>
    </xf>
    <xf numFmtId="0" fontId="5" fillId="6" borderId="5" xfId="0" applyFont="1" applyFill="1" applyBorder="1" applyAlignment="1">
      <alignment wrapText="1"/>
    </xf>
    <xf numFmtId="0" fontId="5" fillId="4" borderId="8" xfId="0" applyFont="1" applyFill="1" applyBorder="1" applyAlignment="1">
      <alignment horizontal="center" vertical="center" wrapText="1"/>
    </xf>
    <xf numFmtId="0" fontId="5" fillId="4" borderId="8" xfId="0" applyFont="1" applyFill="1" applyBorder="1" applyAlignment="1">
      <alignment horizontal="left" vertical="top" wrapText="1"/>
    </xf>
    <xf numFmtId="14" fontId="5" fillId="4" borderId="8" xfId="0" applyNumberFormat="1" applyFont="1" applyFill="1" applyBorder="1" applyAlignment="1">
      <alignment horizontal="center" vertical="center" wrapText="1"/>
    </xf>
    <xf numFmtId="165" fontId="5" fillId="7" borderId="5" xfId="0" applyNumberFormat="1" applyFont="1" applyFill="1" applyBorder="1" applyAlignment="1">
      <alignment horizontal="center" vertical="center" wrapText="1"/>
    </xf>
    <xf numFmtId="0" fontId="5" fillId="4" borderId="3" xfId="0" applyFont="1" applyFill="1" applyBorder="1" applyAlignment="1">
      <alignment horizontal="left" vertical="center" wrapText="1"/>
    </xf>
    <xf numFmtId="14" fontId="5" fillId="6" borderId="5" xfId="0" applyNumberFormat="1" applyFont="1" applyFill="1" applyBorder="1" applyAlignment="1">
      <alignment horizontal="center" vertical="center" wrapText="1"/>
    </xf>
    <xf numFmtId="14" fontId="10" fillId="6" borderId="0" xfId="0" applyNumberFormat="1" applyFont="1" applyFill="1" applyBorder="1" applyAlignment="1">
      <alignment horizontal="center" vertical="center" wrapText="1"/>
    </xf>
    <xf numFmtId="14" fontId="5" fillId="10" borderId="8" xfId="0" applyNumberFormat="1"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3" borderId="2" xfId="0" applyFont="1" applyFill="1" applyBorder="1" applyAlignment="1">
      <alignment horizontal="center" vertical="center" wrapText="1"/>
    </xf>
    <xf numFmtId="14" fontId="0" fillId="4" borderId="2" xfId="0" applyNumberFormat="1" applyFont="1" applyFill="1" applyBorder="1" applyAlignment="1">
      <alignment horizontal="center" vertical="center" wrapText="1"/>
    </xf>
    <xf numFmtId="14" fontId="0" fillId="4" borderId="2" xfId="0" applyNumberFormat="1" applyFont="1" applyFill="1" applyBorder="1" applyAlignment="1">
      <alignment horizontal="center"/>
    </xf>
  </cellXfs>
  <cellStyles count="4">
    <cellStyle name="Hyperlink" xfId="3" builtinId="8"/>
    <cellStyle name="Hyperlink 2" xfId="1" xr:uid="{00000000-0005-0000-0000-000001000000}"/>
    <cellStyle name="Hyperlink 3" xfId="2" xr:uid="{00000000-0005-0000-0000-000002000000}"/>
    <cellStyle name="Normal" xfId="0" builtinId="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11"/>
        <color auto="1"/>
        <name val="Calibri"/>
        <family val="2"/>
        <scheme val="minor"/>
      </font>
      <alignment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67" formatCode="m/d/yyyy"/>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67" formatCode="m/d/yyyy"/>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67" formatCode="m/d/yyyy"/>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color auto="1"/>
      </font>
      <numFmt numFmtId="167" formatCode="m/d/yyyy"/>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textRotation="0" wrapText="1" indent="0" justifyLastLine="0" shrinkToFit="0" readingOrder="0"/>
    </dxf>
    <dxf>
      <font>
        <b val="0"/>
        <strike val="0"/>
        <outline val="0"/>
        <shadow val="0"/>
        <u val="none"/>
        <vertAlign val="baseline"/>
        <sz val="11"/>
        <color auto="1"/>
        <name val="Calibri"/>
        <family val="2"/>
        <scheme val="minor"/>
      </font>
      <numFmt numFmtId="30" formatCode="@"/>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solid">
          <fgColor indexed="64"/>
          <bgColor theme="7"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m/d/yy;@"/>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solid">
          <fgColor indexed="64"/>
          <bgColor rgb="FF99CCFF"/>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textRotation="0" wrapText="1" indent="0" justifyLastLine="0" shrinkToFit="0" readingOrder="0"/>
    </dxf>
    <dxf>
      <border>
        <top style="medium">
          <color indexed="64"/>
        </top>
      </border>
    </dxf>
    <dxf>
      <border diagonalUp="0" diagonalDown="0">
        <left style="medium">
          <color indexed="64"/>
        </left>
        <right style="medium">
          <color indexed="64"/>
        </right>
        <top style="medium">
          <color indexed="64"/>
        </top>
        <bottom style="medium">
          <color indexed="64"/>
        </bottom>
      </border>
    </dxf>
    <dxf>
      <font>
        <b val="0"/>
        <strike val="0"/>
        <outline val="0"/>
        <shadow val="0"/>
        <u val="none"/>
        <vertAlign val="baseline"/>
        <sz val="11"/>
        <color auto="1"/>
        <name val="Calibri"/>
        <family val="2"/>
        <scheme val="minor"/>
      </font>
      <alignment textRotation="0" wrapText="1" indent="0" justifyLastLine="0" shrinkToFit="0" readingOrder="0"/>
    </dxf>
    <dxf>
      <border>
        <bottom style="medium">
          <color indexed="64"/>
        </bottom>
      </border>
    </dxf>
    <dxf>
      <font>
        <b val="0"/>
        <i val="0"/>
        <strike val="0"/>
        <condense val="0"/>
        <extend val="0"/>
        <outline val="0"/>
        <shadow val="0"/>
        <u val="none"/>
        <vertAlign val="baseline"/>
        <sz val="12"/>
        <color theme="1"/>
        <name val="Arial"/>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F99FF"/>
      <color rgb="FF66FF99"/>
      <color rgb="FF996600"/>
      <color rgb="FF99CCFF"/>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92" totalsRowShown="0" headerRowDxfId="44" dataDxfId="42" headerRowBorderDxfId="43" tableBorderDxfId="41" totalsRowBorderDxfId="40">
  <autoFilter ref="A1:W92" xr:uid="{00000000-000C-0000-FFFF-FFFF00000000}"/>
  <sortState xmlns:xlrd2="http://schemas.microsoft.com/office/spreadsheetml/2017/richdata2" ref="A2:W92">
    <sortCondition ref="T1:T92"/>
  </sortState>
  <tableColumns count="23">
    <tableColumn id="27" xr3:uid="{44B77CC3-3356-4BDF-9E35-4B01056D9FC0}" name="Division" dataDxfId="39"/>
    <tableColumn id="2" xr3:uid="{00000000-0010-0000-0000-000002000000}" name="Name " dataDxfId="38"/>
    <tableColumn id="9" xr3:uid="{00000000-0010-0000-0000-000009000000}" name="ID#" dataDxfId="37"/>
    <tableColumn id="3" xr3:uid="{00000000-0010-0000-0000-000003000000}" name="Mentor" dataDxfId="36"/>
    <tableColumn id="4" xr3:uid="{00000000-0010-0000-0000-000004000000}" name="Specialty" dataDxfId="35"/>
    <tableColumn id="19" xr3:uid="{00000000-0010-0000-0000-000013000000}" name="M/F" dataDxfId="34"/>
    <tableColumn id="10" xr3:uid="{00000000-0010-0000-0000-00000A000000}" name="BS Graduation Year" dataDxfId="33"/>
    <tableColumn id="6" xr3:uid="{00000000-0010-0000-0000-000006000000}" name="Grade Code" dataDxfId="32"/>
    <tableColumn id="7" xr3:uid="{00000000-0010-0000-0000-000007000000}" name="Remarks" dataDxfId="31"/>
    <tableColumn id="5" xr3:uid="{2B28B07F-4650-4E66-A7CE-F21C74C25BE0}" name="IK/OOK" dataDxfId="30"/>
    <tableColumn id="11" xr3:uid="{00000000-0010-0000-0000-00000B000000}" name="IK/OOK COMMENT" dataDxfId="29"/>
    <tableColumn id="18" xr3:uid="{00000000-0010-0000-0000-000012000000}" name="MS/PhD" dataDxfId="28"/>
    <tableColumn id="20" xr3:uid="{00000000-0010-0000-0000-000014000000}" name="Email " dataDxfId="27"/>
    <tableColumn id="8" xr3:uid="{00000000-0010-0000-0000-000008000000}" name="Phase in RDP 2022" dataDxfId="26"/>
    <tableColumn id="28" xr3:uid="{B6213083-E254-478C-9000-58D254AF1CF8}" name="2023 Review Meeting Schedule" dataDxfId="25"/>
    <tableColumn id="29" xr3:uid="{BFC25261-3A34-42EA-8C8F-6557722AFBAB}" name="Phase in RDP 2023" dataDxfId="24"/>
    <tableColumn id="21" xr3:uid="{E1FF3B6E-FBD6-49F0-90D5-C4B166DCB3FA}" name="2024 Review Meeting Schedule" dataDxfId="23"/>
    <tableColumn id="13" xr3:uid="{286E5997-C3AC-4FA4-A4F5-3E7FA5F7BE2B}" name="Phase in RDP 2024" dataDxfId="22"/>
    <tableColumn id="23" xr3:uid="{364EB622-DDF8-4387-9537-7B575C5BAB20}" name="Overstay?" dataDxfId="21">
      <calculatedColumnFormula>IF(AND(Table1[[#This Row],[Phase in RDP 2022]]=Table1[[#This Row],[Phase in RDP 2023]], Table1[[#This Row],[Phase in RDP 2023]]=Table1[[#This Row],[Phase in RDP 2024]]),"Yes", "No")</calculatedColumnFormula>
    </tableColumn>
    <tableColumn id="14" xr3:uid="{CC7BA6F1-5CC4-4CD6-B1E4-5F1E3529C350}" name="2025 Review Meeting Schedule" dataDxfId="20"/>
    <tableColumn id="1" xr3:uid="{1E90BA80-B778-4F22-8118-E49014A6356F}" name="Phase in RDP 2025" dataDxfId="19"/>
    <tableColumn id="22" xr3:uid="{79E1D5CA-EABB-4DE0-85C2-401253543245}" name="Promotion" dataDxfId="18">
      <calculatedColumnFormula>_xlfn.IFS((U2="New"),0,(U2="Grad"),1,(U2-R2=1),1,(U2-R2=0),0,(U2=""),0,(U2="Drop"),0)</calculatedColumnFormula>
    </tableColumn>
    <tableColumn id="26" xr3:uid="{13BD447A-D367-470F-B2C6-8DBF72F4040A}" name="Nationality" dataDxfId="17"/>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nour.alzamil@aramco.com" TargetMode="External"/><Relationship Id="rId18" Type="http://schemas.openxmlformats.org/officeDocument/2006/relationships/hyperlink" Target="mailto:alsaif.maram@gmail.com" TargetMode="External"/><Relationship Id="rId26" Type="http://schemas.openxmlformats.org/officeDocument/2006/relationships/hyperlink" Target="mailto:mh1995nd@gmail.com" TargetMode="External"/><Relationship Id="rId39" Type="http://schemas.openxmlformats.org/officeDocument/2006/relationships/hyperlink" Target="mailto:Hussain.Alfayez@aramco.com" TargetMode="External"/><Relationship Id="rId21" Type="http://schemas.openxmlformats.org/officeDocument/2006/relationships/hyperlink" Target="mailto:Mutaz.alsubhi@kaust.edu.sa" TargetMode="External"/><Relationship Id="rId34" Type="http://schemas.openxmlformats.org/officeDocument/2006/relationships/hyperlink" Target="mailto:faris.tulbah@berkeley.edu" TargetMode="External"/><Relationship Id="rId42" Type="http://schemas.openxmlformats.org/officeDocument/2006/relationships/hyperlink" Target="mailto:kmsh2011ksa@gmail.com&#160;" TargetMode="External"/><Relationship Id="rId47" Type="http://schemas.openxmlformats.org/officeDocument/2006/relationships/hyperlink" Target="mailto:wengang.li@aramco.com" TargetMode="External"/><Relationship Id="rId50" Type="http://schemas.openxmlformats.org/officeDocument/2006/relationships/hyperlink" Target="mailto:manar.alahmari@aramco.com" TargetMode="External"/><Relationship Id="rId55" Type="http://schemas.openxmlformats.org/officeDocument/2006/relationships/comments" Target="../comments1.xml"/><Relationship Id="rId7" Type="http://schemas.openxmlformats.org/officeDocument/2006/relationships/hyperlink" Target="mailto:OMAR.DAJANI@ARAMCO.COM" TargetMode="External"/><Relationship Id="rId2" Type="http://schemas.openxmlformats.org/officeDocument/2006/relationships/hyperlink" Target="mailto:abdulaziz.almusa@aramco.com" TargetMode="External"/><Relationship Id="rId16" Type="http://schemas.openxmlformats.org/officeDocument/2006/relationships/hyperlink" Target="mailto:ali.alfaraj.2@aramco.com" TargetMode="External"/><Relationship Id="rId29" Type="http://schemas.openxmlformats.org/officeDocument/2006/relationships/hyperlink" Target="mailto:sara.abualsaud@aramco.com" TargetMode="External"/><Relationship Id="rId11" Type="http://schemas.openxmlformats.org/officeDocument/2006/relationships/hyperlink" Target="mailto:ahmad.ramdani@aramco.com" TargetMode="External"/><Relationship Id="rId24" Type="http://schemas.openxmlformats.org/officeDocument/2006/relationships/hyperlink" Target="mailto:ahmed.alsmaeil@aramco.com" TargetMode="External"/><Relationship Id="rId32" Type="http://schemas.openxmlformats.org/officeDocument/2006/relationships/hyperlink" Target="mailto:EIMAN.MUNIF@ARAMCO.COM" TargetMode="External"/><Relationship Id="rId37" Type="http://schemas.openxmlformats.org/officeDocument/2006/relationships/hyperlink" Target="mailto:MARWAN.ALMULHIM@ARAMCO.COM" TargetMode="External"/><Relationship Id="rId40" Type="http://schemas.openxmlformats.org/officeDocument/2006/relationships/hyperlink" Target="mailto:rima.alfaraj@aramco.com" TargetMode="External"/><Relationship Id="rId45" Type="http://schemas.openxmlformats.org/officeDocument/2006/relationships/hyperlink" Target="mailto:mohammed.alabdrabalnabi.1@aramco.com" TargetMode="External"/><Relationship Id="rId53" Type="http://schemas.openxmlformats.org/officeDocument/2006/relationships/vmlDrawing" Target="../drawings/vmlDrawing1.vml"/><Relationship Id="rId5" Type="http://schemas.openxmlformats.org/officeDocument/2006/relationships/hyperlink" Target="mailto:meshari.alshalan@aramco.com" TargetMode="External"/><Relationship Id="rId10" Type="http://schemas.openxmlformats.org/officeDocument/2006/relationships/hyperlink" Target="mailto:MOATH.GAZLAN@ARAMCO.COM" TargetMode="External"/><Relationship Id="rId19" Type="http://schemas.openxmlformats.org/officeDocument/2006/relationships/hyperlink" Target="mailto:almahath@aramco.com" TargetMode="External"/><Relationship Id="rId31" Type="http://schemas.openxmlformats.org/officeDocument/2006/relationships/hyperlink" Target="mailto:abeer.alarawi@aramco.com" TargetMode="External"/><Relationship Id="rId44" Type="http://schemas.openxmlformats.org/officeDocument/2006/relationships/hyperlink" Target="mailto:hana.matouq@aramco.com" TargetMode="External"/><Relationship Id="rId52" Type="http://schemas.openxmlformats.org/officeDocument/2006/relationships/printerSettings" Target="../printerSettings/printerSettings1.bin"/><Relationship Id="rId4" Type="http://schemas.openxmlformats.org/officeDocument/2006/relationships/hyperlink" Target="mailto:ABRAR.SHAIKH@ARAMCO.COM" TargetMode="External"/><Relationship Id="rId9" Type="http://schemas.openxmlformats.org/officeDocument/2006/relationships/hyperlink" Target="mailto:khawlah.alanqari@aramco.com" TargetMode="External"/><Relationship Id="rId14" Type="http://schemas.openxmlformats.org/officeDocument/2006/relationships/hyperlink" Target="mailto:FATAIREO@OUTLOOK.COM" TargetMode="External"/><Relationship Id="rId22" Type="http://schemas.openxmlformats.org/officeDocument/2006/relationships/hyperlink" Target="mailto:SALEH.HASSAN.4@ARAMCO.COM" TargetMode="External"/><Relationship Id="rId27" Type="http://schemas.openxmlformats.org/officeDocument/2006/relationships/hyperlink" Target="mailto:amani.o.alaali@gmail.com" TargetMode="External"/><Relationship Id="rId30" Type="http://schemas.openxmlformats.org/officeDocument/2006/relationships/hyperlink" Target="mailto:abdulla.sarraf@aramco.com" TargetMode="External"/><Relationship Id="rId35" Type="http://schemas.openxmlformats.org/officeDocument/2006/relationships/hyperlink" Target="mailto:AHMAD.ALRASHED@ARAMCO.COM" TargetMode="External"/><Relationship Id="rId43" Type="http://schemas.openxmlformats.org/officeDocument/2006/relationships/hyperlink" Target="mailto:AHMED.DUGHAITHER@ARAMCO.COM" TargetMode="External"/><Relationship Id="rId48" Type="http://schemas.openxmlformats.org/officeDocument/2006/relationships/hyperlink" Target="mailto:basmah.alahmadi@aramco.com" TargetMode="External"/><Relationship Id="rId8" Type="http://schemas.openxmlformats.org/officeDocument/2006/relationships/hyperlink" Target="mailto:Mohammad.Alosail@aramco.com" TargetMode="External"/><Relationship Id="rId51" Type="http://schemas.openxmlformats.org/officeDocument/2006/relationships/hyperlink" Target="mailto:Jasem.Alqassab@aramco.com" TargetMode="External"/><Relationship Id="rId3" Type="http://schemas.openxmlformats.org/officeDocument/2006/relationships/hyperlink" Target="mailto:mohammad.aljubran@aramco.com" TargetMode="External"/><Relationship Id="rId12" Type="http://schemas.openxmlformats.org/officeDocument/2006/relationships/hyperlink" Target="mailto:mohammedalmarzoug95@gmail.com" TargetMode="External"/><Relationship Id="rId17" Type="http://schemas.openxmlformats.org/officeDocument/2006/relationships/hyperlink" Target="mailto:marwah.alismail@gmail.com" TargetMode="External"/><Relationship Id="rId25" Type="http://schemas.openxmlformats.org/officeDocument/2006/relationships/hyperlink" Target="mailto:hamoud.alqahtani@kaust.edu.sa" TargetMode="External"/><Relationship Id="rId33" Type="http://schemas.openxmlformats.org/officeDocument/2006/relationships/hyperlink" Target="mailto:ali.alhubail@kaust.edu.sa" TargetMode="External"/><Relationship Id="rId38" Type="http://schemas.openxmlformats.org/officeDocument/2006/relationships/hyperlink" Target="mailto:jamal.aamri@aramco.com" TargetMode="External"/><Relationship Id="rId46" Type="http://schemas.openxmlformats.org/officeDocument/2006/relationships/hyperlink" Target="mailto:MOHAMMAD.ALSORAYA@ARAMCO.COM" TargetMode="External"/><Relationship Id="rId20" Type="http://schemas.openxmlformats.org/officeDocument/2006/relationships/hyperlink" Target="mailto:deena.tayyib@aramco.com" TargetMode="External"/><Relationship Id="rId41" Type="http://schemas.openxmlformats.org/officeDocument/2006/relationships/hyperlink" Target="mailto:ahmed.g.alghizzi@gmail.com" TargetMode="External"/><Relationship Id="rId54" Type="http://schemas.openxmlformats.org/officeDocument/2006/relationships/table" Target="../tables/table1.xml"/><Relationship Id="rId1" Type="http://schemas.openxmlformats.org/officeDocument/2006/relationships/hyperlink" Target="mailto:ODAI.ELYAS@ARAMCO.COM" TargetMode="External"/><Relationship Id="rId6" Type="http://schemas.openxmlformats.org/officeDocument/2006/relationships/hyperlink" Target="mailto:haitham.hamed@aramco.com" TargetMode="External"/><Relationship Id="rId15" Type="http://schemas.openxmlformats.org/officeDocument/2006/relationships/hyperlink" Target="mailto:Ali.alzayer.1@aramco.com&#160;" TargetMode="External"/><Relationship Id="rId23" Type="http://schemas.openxmlformats.org/officeDocument/2006/relationships/hyperlink" Target="mailto:saleh.komies@aramco.com" TargetMode="External"/><Relationship Id="rId28" Type="http://schemas.openxmlformats.org/officeDocument/2006/relationships/hyperlink" Target="mailto:xupeng.he@aramco.com" TargetMode="External"/><Relationship Id="rId36" Type="http://schemas.openxmlformats.org/officeDocument/2006/relationships/hyperlink" Target="mailto:badegawo@aramco.com" TargetMode="External"/><Relationship Id="rId49" Type="http://schemas.openxmlformats.org/officeDocument/2006/relationships/hyperlink" Target="mailto:abdullah.alomier@aramc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50"/>
  <sheetViews>
    <sheetView showGridLines="0" tabSelected="1" view="pageBreakPreview" zoomScale="85" zoomScaleNormal="85" zoomScaleSheetLayoutView="85" workbookViewId="0">
      <pane xSplit="2" ySplit="1" topLeftCell="C2" activePane="bottomRight" state="frozen"/>
      <selection pane="bottomLeft" activeCell="A2" sqref="A2"/>
      <selection pane="topRight" activeCell="C1" sqref="C1"/>
      <selection pane="bottomRight" activeCell="B29" sqref="B29"/>
    </sheetView>
  </sheetViews>
  <sheetFormatPr defaultColWidth="37.39453125" defaultRowHeight="14.45" customHeight="1" x14ac:dyDescent="0.2"/>
  <cols>
    <col min="1" max="1" width="16.140625" style="75" bestFit="1" customWidth="1"/>
    <col min="2" max="2" width="26.5" style="105" bestFit="1" customWidth="1"/>
    <col min="3" max="3" width="9.81640625" style="99" bestFit="1" customWidth="1"/>
    <col min="4" max="4" width="27.3046875" style="101" customWidth="1"/>
    <col min="5" max="5" width="39.546875" style="101" customWidth="1"/>
    <col min="6" max="6" width="10.4921875" style="75" bestFit="1" customWidth="1"/>
    <col min="7" max="7" width="26.09765625" style="103" bestFit="1" customWidth="1"/>
    <col min="8" max="8" width="12.5078125" style="99" bestFit="1" customWidth="1"/>
    <col min="9" max="9" width="37.39453125" customWidth="1"/>
    <col min="10" max="10" width="12.5078125" style="99" bestFit="1" customWidth="1"/>
    <col min="11" max="11" width="17.08203125" style="75" bestFit="1" customWidth="1"/>
    <col min="12" max="12" width="13.31640625" style="75" bestFit="1" customWidth="1"/>
    <col min="13" max="13" width="36.05078125" style="75" customWidth="1"/>
    <col min="14" max="14" width="15.73828125" style="8" bestFit="1" customWidth="1"/>
    <col min="15" max="15" width="24.75" style="104" bestFit="1" customWidth="1"/>
    <col min="16" max="16" width="17.3515625" style="109" bestFit="1" customWidth="1"/>
    <col min="17" max="17" width="24.75" style="104" bestFit="1" customWidth="1"/>
    <col min="18" max="18" width="17.3515625" bestFit="1" customWidth="1"/>
    <col min="19" max="19" width="14.52734375" style="1" bestFit="1" customWidth="1"/>
    <col min="20" max="20" width="28.3828125" style="104" bestFit="1" customWidth="1"/>
    <col min="21" max="21" width="22.328125" bestFit="1" customWidth="1"/>
    <col min="22" max="22" width="14.9296875" style="1" bestFit="1" customWidth="1"/>
    <col min="23" max="23" width="18.16015625" style="9" customWidth="1"/>
    <col min="24" max="24" width="14.125" style="9" customWidth="1"/>
    <col min="25" max="16384" width="37.39453125" style="9"/>
  </cols>
  <sheetData>
    <row r="1" spans="1:23" s="142" customFormat="1" ht="39" customHeight="1" thickBot="1" x14ac:dyDescent="0.25">
      <c r="A1" s="70" t="s">
        <v>1</v>
      </c>
      <c r="B1" s="4" t="s">
        <v>0</v>
      </c>
      <c r="C1" s="4" t="s">
        <v>55</v>
      </c>
      <c r="D1" s="4" t="s">
        <v>3</v>
      </c>
      <c r="E1" s="4" t="s">
        <v>2</v>
      </c>
      <c r="F1" s="4" t="s">
        <v>123</v>
      </c>
      <c r="G1" s="5" t="s">
        <v>21</v>
      </c>
      <c r="H1" s="6" t="s">
        <v>4</v>
      </c>
      <c r="I1" s="62" t="s">
        <v>147</v>
      </c>
      <c r="J1" s="4" t="s">
        <v>24</v>
      </c>
      <c r="K1" s="4" t="s">
        <v>191</v>
      </c>
      <c r="L1" s="10" t="s">
        <v>120</v>
      </c>
      <c r="M1" s="11" t="s">
        <v>56</v>
      </c>
      <c r="N1" s="7" t="s">
        <v>193</v>
      </c>
      <c r="O1" s="124" t="s">
        <v>192</v>
      </c>
      <c r="P1" s="69" t="s">
        <v>194</v>
      </c>
      <c r="Q1" s="124" t="s">
        <v>252</v>
      </c>
      <c r="R1" s="69" t="s">
        <v>251</v>
      </c>
      <c r="S1" s="147" t="s">
        <v>313</v>
      </c>
      <c r="T1" s="124" t="s">
        <v>312</v>
      </c>
      <c r="U1" s="69" t="s">
        <v>311</v>
      </c>
      <c r="V1" s="70" t="s">
        <v>279</v>
      </c>
      <c r="W1" s="69" t="s">
        <v>127</v>
      </c>
    </row>
    <row r="2" spans="1:23" s="77" customFormat="1" ht="14.45" customHeight="1" x14ac:dyDescent="0.2">
      <c r="A2" s="25" t="s">
        <v>9</v>
      </c>
      <c r="B2" s="17" t="s">
        <v>186</v>
      </c>
      <c r="C2" s="25">
        <v>792392</v>
      </c>
      <c r="D2" s="17" t="s">
        <v>211</v>
      </c>
      <c r="E2" s="26" t="s">
        <v>212</v>
      </c>
      <c r="F2" s="25" t="s">
        <v>124</v>
      </c>
      <c r="G2" s="27">
        <v>43616</v>
      </c>
      <c r="H2" s="25">
        <v>11</v>
      </c>
      <c r="I2" s="12" t="s">
        <v>264</v>
      </c>
      <c r="J2" s="25" t="s">
        <v>23</v>
      </c>
      <c r="K2" s="25" t="s">
        <v>23</v>
      </c>
      <c r="L2" s="25" t="s">
        <v>98</v>
      </c>
      <c r="M2" s="49" t="s">
        <v>238</v>
      </c>
      <c r="N2" s="74">
        <v>1</v>
      </c>
      <c r="O2" s="28"/>
      <c r="P2" s="25">
        <v>1</v>
      </c>
      <c r="Q2" s="28">
        <v>45369</v>
      </c>
      <c r="R2" s="25">
        <v>1</v>
      </c>
      <c r="S2" s="25" t="str">
        <f>IF(AND(Table1[[#This Row],[Phase in RDP 2022]]=Table1[[#This Row],[Phase in RDP 2023]], Table1[[#This Row],[Phase in RDP 2023]]=Table1[[#This Row],[Phase in RDP 2024]]),"Yes", "No")</f>
        <v>Yes</v>
      </c>
      <c r="T2" s="28">
        <v>45726</v>
      </c>
      <c r="U2" s="25">
        <v>1</v>
      </c>
      <c r="V2" s="25">
        <f t="shared" ref="V2:V33" si="0">_xlfn.IFS((U2="New"),0,(U2="Grad"),1,(U2-R2=1),1,(U2-R2=0),0,(U2=""),0,(U2="Drop"),0)</f>
        <v>0</v>
      </c>
      <c r="W2" s="76" t="s">
        <v>136</v>
      </c>
    </row>
    <row r="3" spans="1:23" s="77" customFormat="1" ht="14.45" customHeight="1" x14ac:dyDescent="0.2">
      <c r="A3" s="36" t="s">
        <v>6</v>
      </c>
      <c r="B3" s="21" t="s">
        <v>179</v>
      </c>
      <c r="C3" s="36">
        <v>781437</v>
      </c>
      <c r="D3" s="21" t="s">
        <v>362</v>
      </c>
      <c r="E3" s="37" t="s">
        <v>363</v>
      </c>
      <c r="F3" s="36" t="s">
        <v>124</v>
      </c>
      <c r="G3" s="38">
        <v>43593</v>
      </c>
      <c r="H3" s="36">
        <v>12</v>
      </c>
      <c r="I3" s="114" t="s">
        <v>364</v>
      </c>
      <c r="J3" s="36" t="s">
        <v>23</v>
      </c>
      <c r="K3" s="36" t="s">
        <v>23</v>
      </c>
      <c r="L3" s="36" t="s">
        <v>98</v>
      </c>
      <c r="M3" s="152" t="s">
        <v>365</v>
      </c>
      <c r="N3" s="80">
        <v>1</v>
      </c>
      <c r="O3" s="39"/>
      <c r="P3" s="36">
        <v>1</v>
      </c>
      <c r="Q3" s="39">
        <v>45355</v>
      </c>
      <c r="R3" s="36">
        <v>1</v>
      </c>
      <c r="S3" s="36" t="str">
        <f>IF(AND(Table1[[#This Row],[Phase in RDP 2022]]=Table1[[#This Row],[Phase in RDP 2023]], Table1[[#This Row],[Phase in RDP 2023]]=Table1[[#This Row],[Phase in RDP 2024]]),"Yes", "No")</f>
        <v>Yes</v>
      </c>
      <c r="T3" s="39">
        <v>45726</v>
      </c>
      <c r="U3" s="36">
        <v>1</v>
      </c>
      <c r="V3" s="36">
        <f t="shared" si="0"/>
        <v>0</v>
      </c>
      <c r="W3" s="81" t="s">
        <v>136</v>
      </c>
    </row>
    <row r="4" spans="1:23" s="77" customFormat="1" ht="14.45" customHeight="1" x14ac:dyDescent="0.2">
      <c r="A4" s="36" t="s">
        <v>6</v>
      </c>
      <c r="B4" s="21" t="s">
        <v>171</v>
      </c>
      <c r="C4" s="36">
        <v>768794</v>
      </c>
      <c r="D4" s="21" t="s">
        <v>315</v>
      </c>
      <c r="E4" s="37" t="s">
        <v>108</v>
      </c>
      <c r="F4" s="36" t="s">
        <v>125</v>
      </c>
      <c r="G4" s="38">
        <v>43230</v>
      </c>
      <c r="H4" s="36">
        <v>12</v>
      </c>
      <c r="I4" s="21" t="s">
        <v>266</v>
      </c>
      <c r="J4" s="36" t="s">
        <v>23</v>
      </c>
      <c r="K4" s="36" t="s">
        <v>23</v>
      </c>
      <c r="L4" s="36" t="s">
        <v>99</v>
      </c>
      <c r="M4" s="152" t="s">
        <v>367</v>
      </c>
      <c r="N4" s="80">
        <v>1</v>
      </c>
      <c r="O4" s="39"/>
      <c r="P4" s="36">
        <v>1</v>
      </c>
      <c r="Q4" s="39"/>
      <c r="R4" s="36">
        <v>1</v>
      </c>
      <c r="S4" s="36" t="str">
        <f>IF(AND(Table1[[#This Row],[Phase in RDP 2022]]=Table1[[#This Row],[Phase in RDP 2023]], Table1[[#This Row],[Phase in RDP 2023]]=Table1[[#This Row],[Phase in RDP 2024]]),"Yes", "No")</f>
        <v>Yes</v>
      </c>
      <c r="T4" s="39">
        <v>45726</v>
      </c>
      <c r="U4" s="36">
        <v>2</v>
      </c>
      <c r="V4" s="36">
        <f t="shared" si="0"/>
        <v>1</v>
      </c>
      <c r="W4" s="81" t="s">
        <v>136</v>
      </c>
    </row>
    <row r="5" spans="1:23" s="77" customFormat="1" ht="14.45" customHeight="1" x14ac:dyDescent="0.2">
      <c r="A5" s="25" t="s">
        <v>9</v>
      </c>
      <c r="B5" s="17" t="s">
        <v>182</v>
      </c>
      <c r="C5" s="25">
        <v>769021</v>
      </c>
      <c r="D5" s="17" t="s">
        <v>274</v>
      </c>
      <c r="E5" s="26" t="s">
        <v>231</v>
      </c>
      <c r="F5" s="25" t="s">
        <v>124</v>
      </c>
      <c r="G5" s="74">
        <v>2018</v>
      </c>
      <c r="H5" s="25">
        <v>11</v>
      </c>
      <c r="I5" s="12" t="s">
        <v>264</v>
      </c>
      <c r="J5" s="25" t="s">
        <v>23</v>
      </c>
      <c r="K5" s="25" t="s">
        <v>23</v>
      </c>
      <c r="L5" s="25"/>
      <c r="M5" s="49" t="s">
        <v>441</v>
      </c>
      <c r="N5" s="74">
        <v>1</v>
      </c>
      <c r="O5" s="28"/>
      <c r="P5" s="25">
        <v>1</v>
      </c>
      <c r="Q5" s="28">
        <v>45355</v>
      </c>
      <c r="R5" s="25">
        <v>1</v>
      </c>
      <c r="S5" s="25" t="str">
        <f>IF(AND(Table1[[#This Row],[Phase in RDP 2022]]=Table1[[#This Row],[Phase in RDP 2023]], Table1[[#This Row],[Phase in RDP 2023]]=Table1[[#This Row],[Phase in RDP 2024]]),"Yes", "No")</f>
        <v>Yes</v>
      </c>
      <c r="T5" s="28">
        <v>45740</v>
      </c>
      <c r="U5" s="25">
        <v>1</v>
      </c>
      <c r="V5" s="25">
        <f t="shared" si="0"/>
        <v>0</v>
      </c>
      <c r="W5" s="76" t="s">
        <v>136</v>
      </c>
    </row>
    <row r="6" spans="1:23" s="77" customFormat="1" ht="14.45" customHeight="1" x14ac:dyDescent="0.2">
      <c r="A6" s="15" t="s">
        <v>7</v>
      </c>
      <c r="B6" s="34" t="s">
        <v>79</v>
      </c>
      <c r="C6" s="15">
        <v>284686</v>
      </c>
      <c r="D6" s="34" t="s">
        <v>291</v>
      </c>
      <c r="E6" s="14" t="s">
        <v>240</v>
      </c>
      <c r="F6" s="15" t="s">
        <v>124</v>
      </c>
      <c r="G6" s="151">
        <v>40391</v>
      </c>
      <c r="H6" s="15">
        <v>12</v>
      </c>
      <c r="I6" s="34" t="s">
        <v>232</v>
      </c>
      <c r="J6" s="15" t="s">
        <v>23</v>
      </c>
      <c r="K6" s="15" t="s">
        <v>23</v>
      </c>
      <c r="L6" s="15" t="s">
        <v>100</v>
      </c>
      <c r="M6" s="52" t="s">
        <v>96</v>
      </c>
      <c r="N6" s="72">
        <v>1</v>
      </c>
      <c r="O6" s="138"/>
      <c r="P6" s="52">
        <v>2</v>
      </c>
      <c r="Q6" s="60">
        <v>45495</v>
      </c>
      <c r="R6" s="52">
        <v>2</v>
      </c>
      <c r="S6" s="52" t="str">
        <f>IF(AND(Table1[[#This Row],[Phase in RDP 2022]]=Table1[[#This Row],[Phase in RDP 2023]], Table1[[#This Row],[Phase in RDP 2023]]=Table1[[#This Row],[Phase in RDP 2024]]),"Yes", "No")</f>
        <v>No</v>
      </c>
      <c r="T6" s="60">
        <v>45740</v>
      </c>
      <c r="U6" s="52" t="s">
        <v>195</v>
      </c>
      <c r="V6" s="52">
        <f t="shared" si="0"/>
        <v>1</v>
      </c>
      <c r="W6" s="90" t="s">
        <v>136</v>
      </c>
    </row>
    <row r="7" spans="1:23" s="77" customFormat="1" ht="14.45" customHeight="1" x14ac:dyDescent="0.2">
      <c r="A7" s="36" t="s">
        <v>6</v>
      </c>
      <c r="B7" s="21" t="s">
        <v>45</v>
      </c>
      <c r="C7" s="36">
        <v>284907</v>
      </c>
      <c r="D7" s="21" t="s">
        <v>44</v>
      </c>
      <c r="E7" s="37" t="s">
        <v>51</v>
      </c>
      <c r="F7" s="36" t="s">
        <v>124</v>
      </c>
      <c r="G7" s="38" t="s">
        <v>27</v>
      </c>
      <c r="H7" s="36">
        <v>14</v>
      </c>
      <c r="I7" s="21" t="s">
        <v>357</v>
      </c>
      <c r="J7" s="36" t="s">
        <v>23</v>
      </c>
      <c r="K7" s="36" t="s">
        <v>23</v>
      </c>
      <c r="L7" s="36" t="s">
        <v>100</v>
      </c>
      <c r="M7" s="54" t="s">
        <v>31</v>
      </c>
      <c r="N7" s="80">
        <v>2</v>
      </c>
      <c r="O7" s="39">
        <v>44963</v>
      </c>
      <c r="P7" s="54">
        <v>3</v>
      </c>
      <c r="Q7" s="39">
        <v>45369</v>
      </c>
      <c r="R7" s="54">
        <v>3</v>
      </c>
      <c r="S7" s="54" t="str">
        <f>IF(AND(Table1[[#This Row],[Phase in RDP 2022]]=Table1[[#This Row],[Phase in RDP 2023]], Table1[[#This Row],[Phase in RDP 2023]]=Table1[[#This Row],[Phase in RDP 2024]]),"Yes", "No")</f>
        <v>No</v>
      </c>
      <c r="T7" s="39">
        <v>45740</v>
      </c>
      <c r="U7" s="54" t="s">
        <v>195</v>
      </c>
      <c r="V7" s="54">
        <f t="shared" si="0"/>
        <v>1</v>
      </c>
      <c r="W7" s="81" t="s">
        <v>136</v>
      </c>
    </row>
    <row r="8" spans="1:23" s="77" customFormat="1" ht="14.45" customHeight="1" x14ac:dyDescent="0.2">
      <c r="A8" s="25" t="s">
        <v>9</v>
      </c>
      <c r="B8" s="17" t="s">
        <v>34</v>
      </c>
      <c r="C8" s="25">
        <v>294554</v>
      </c>
      <c r="D8" s="17" t="s">
        <v>271</v>
      </c>
      <c r="E8" s="26" t="s">
        <v>84</v>
      </c>
      <c r="F8" s="25" t="s">
        <v>124</v>
      </c>
      <c r="G8" s="27" t="s">
        <v>61</v>
      </c>
      <c r="H8" s="25">
        <v>13</v>
      </c>
      <c r="I8" s="17" t="s">
        <v>277</v>
      </c>
      <c r="J8" s="25" t="s">
        <v>23</v>
      </c>
      <c r="K8" s="25" t="s">
        <v>23</v>
      </c>
      <c r="L8" s="25" t="s">
        <v>100</v>
      </c>
      <c r="M8" s="65" t="s">
        <v>35</v>
      </c>
      <c r="N8" s="74">
        <v>2</v>
      </c>
      <c r="O8" s="28">
        <v>44991</v>
      </c>
      <c r="P8" s="25">
        <v>2</v>
      </c>
      <c r="Q8" s="28">
        <v>45355</v>
      </c>
      <c r="R8" s="25">
        <v>2</v>
      </c>
      <c r="S8" s="25" t="str">
        <f>IF(AND(Table1[[#This Row],[Phase in RDP 2022]]=Table1[[#This Row],[Phase in RDP 2023]], Table1[[#This Row],[Phase in RDP 2023]]=Table1[[#This Row],[Phase in RDP 2024]]),"Yes", "No")</f>
        <v>Yes</v>
      </c>
      <c r="T8" s="28">
        <v>45775</v>
      </c>
      <c r="U8" s="25">
        <v>2</v>
      </c>
      <c r="V8" s="25">
        <f t="shared" si="0"/>
        <v>0</v>
      </c>
      <c r="W8" s="76" t="s">
        <v>136</v>
      </c>
    </row>
    <row r="9" spans="1:23" s="77" customFormat="1" ht="14.45" customHeight="1" x14ac:dyDescent="0.2">
      <c r="A9" s="15" t="s">
        <v>7</v>
      </c>
      <c r="B9" s="34" t="s">
        <v>299</v>
      </c>
      <c r="C9" s="15">
        <v>896210</v>
      </c>
      <c r="D9" s="34" t="s">
        <v>319</v>
      </c>
      <c r="E9" s="14" t="s">
        <v>320</v>
      </c>
      <c r="F9" s="15" t="s">
        <v>124</v>
      </c>
      <c r="G9" s="15">
        <v>2008</v>
      </c>
      <c r="H9" s="15">
        <v>14</v>
      </c>
      <c r="I9" s="34" t="s">
        <v>266</v>
      </c>
      <c r="J9" s="15" t="s">
        <v>23</v>
      </c>
      <c r="K9" s="15" t="s">
        <v>23</v>
      </c>
      <c r="L9" s="15" t="s">
        <v>100</v>
      </c>
      <c r="M9" s="178" t="s">
        <v>300</v>
      </c>
      <c r="N9" s="73">
        <v>3</v>
      </c>
      <c r="O9" s="60"/>
      <c r="P9" s="52">
        <v>3</v>
      </c>
      <c r="Q9" s="112"/>
      <c r="R9" s="52">
        <v>3</v>
      </c>
      <c r="S9" s="52" t="str">
        <f>IF(AND(Table1[[#This Row],[Phase in RDP 2022]]=Table1[[#This Row],[Phase in RDP 2023]], Table1[[#This Row],[Phase in RDP 2023]]=Table1[[#This Row],[Phase in RDP 2024]]),"Yes", "No")</f>
        <v>Yes</v>
      </c>
      <c r="T9" s="60">
        <v>45775</v>
      </c>
      <c r="U9" s="52" t="s">
        <v>195</v>
      </c>
      <c r="V9" s="52">
        <f t="shared" si="0"/>
        <v>1</v>
      </c>
      <c r="W9" s="90" t="s">
        <v>136</v>
      </c>
    </row>
    <row r="10" spans="1:23" s="77" customFormat="1" ht="14.45" customHeight="1" x14ac:dyDescent="0.2">
      <c r="A10" s="24" t="s">
        <v>8</v>
      </c>
      <c r="B10" s="115" t="s">
        <v>103</v>
      </c>
      <c r="C10" s="24">
        <v>772883</v>
      </c>
      <c r="D10" s="45" t="s">
        <v>138</v>
      </c>
      <c r="E10" s="46" t="s">
        <v>160</v>
      </c>
      <c r="F10" s="24" t="s">
        <v>124</v>
      </c>
      <c r="G10" s="47" t="s">
        <v>144</v>
      </c>
      <c r="H10" s="24">
        <v>12</v>
      </c>
      <c r="I10" s="115" t="s">
        <v>295</v>
      </c>
      <c r="J10" s="24" t="s">
        <v>23</v>
      </c>
      <c r="K10" s="24" t="s">
        <v>23</v>
      </c>
      <c r="L10" s="24" t="s">
        <v>100</v>
      </c>
      <c r="M10" s="153" t="s">
        <v>372</v>
      </c>
      <c r="N10" s="78">
        <v>2</v>
      </c>
      <c r="O10" s="82"/>
      <c r="P10" s="24">
        <v>2</v>
      </c>
      <c r="Q10" s="82"/>
      <c r="R10" s="24">
        <v>2</v>
      </c>
      <c r="S10" s="24" t="str">
        <f>IF(AND(Table1[[#This Row],[Phase in RDP 2022]]=Table1[[#This Row],[Phase in RDP 2023]], Table1[[#This Row],[Phase in RDP 2023]]=Table1[[#This Row],[Phase in RDP 2024]]),"Yes", "No")</f>
        <v>Yes</v>
      </c>
      <c r="T10" s="59">
        <v>45775</v>
      </c>
      <c r="U10" s="24" t="s">
        <v>195</v>
      </c>
      <c r="V10" s="24">
        <f t="shared" si="0"/>
        <v>1</v>
      </c>
      <c r="W10" s="79" t="s">
        <v>136</v>
      </c>
    </row>
    <row r="11" spans="1:23" s="77" customFormat="1" ht="14.45" customHeight="1" x14ac:dyDescent="0.2">
      <c r="A11" s="15" t="s">
        <v>7</v>
      </c>
      <c r="B11" s="34" t="s">
        <v>43</v>
      </c>
      <c r="C11" s="15">
        <v>298771</v>
      </c>
      <c r="D11" s="14" t="s">
        <v>243</v>
      </c>
      <c r="E11" s="14" t="s">
        <v>343</v>
      </c>
      <c r="F11" s="15" t="s">
        <v>124</v>
      </c>
      <c r="G11" s="35" t="s">
        <v>64</v>
      </c>
      <c r="H11" s="15">
        <v>14</v>
      </c>
      <c r="I11" s="34" t="s">
        <v>145</v>
      </c>
      <c r="J11" s="15" t="s">
        <v>23</v>
      </c>
      <c r="K11" s="15" t="s">
        <v>23</v>
      </c>
      <c r="L11" s="15" t="s">
        <v>100</v>
      </c>
      <c r="M11" s="52" t="s">
        <v>344</v>
      </c>
      <c r="N11" s="72">
        <v>2</v>
      </c>
      <c r="O11" s="180" t="s">
        <v>196</v>
      </c>
      <c r="P11" s="52">
        <v>3</v>
      </c>
      <c r="Q11" s="95">
        <v>45327</v>
      </c>
      <c r="R11" s="52">
        <v>3</v>
      </c>
      <c r="S11" s="52" t="str">
        <f>IF(AND(Table1[[#This Row],[Phase in RDP 2022]]=Table1[[#This Row],[Phase in RDP 2023]], Table1[[#This Row],[Phase in RDP 2023]]=Table1[[#This Row],[Phase in RDP 2024]]),"Yes", "No")</f>
        <v>No</v>
      </c>
      <c r="T11" s="60">
        <v>45803</v>
      </c>
      <c r="U11" s="52" t="s">
        <v>195</v>
      </c>
      <c r="V11" s="52">
        <f t="shared" si="0"/>
        <v>1</v>
      </c>
      <c r="W11" s="90" t="s">
        <v>136</v>
      </c>
    </row>
    <row r="12" spans="1:23" s="77" customFormat="1" ht="14.45" customHeight="1" x14ac:dyDescent="0.2">
      <c r="A12" s="24" t="s">
        <v>8</v>
      </c>
      <c r="B12" s="166" t="s">
        <v>172</v>
      </c>
      <c r="C12" s="24">
        <v>756712</v>
      </c>
      <c r="D12" s="45" t="s">
        <v>375</v>
      </c>
      <c r="E12" s="46" t="s">
        <v>376</v>
      </c>
      <c r="F12" s="24" t="s">
        <v>125</v>
      </c>
      <c r="G12" s="120">
        <v>46884</v>
      </c>
      <c r="H12" s="24">
        <v>12</v>
      </c>
      <c r="I12" s="45" t="s">
        <v>377</v>
      </c>
      <c r="J12" s="24" t="s">
        <v>23</v>
      </c>
      <c r="K12" s="24" t="s">
        <v>23</v>
      </c>
      <c r="L12" s="24" t="s">
        <v>99</v>
      </c>
      <c r="M12" s="177" t="s">
        <v>378</v>
      </c>
      <c r="N12" s="78">
        <v>1</v>
      </c>
      <c r="O12" s="59"/>
      <c r="P12" s="24">
        <v>1</v>
      </c>
      <c r="Q12" s="59"/>
      <c r="R12" s="24">
        <v>1</v>
      </c>
      <c r="S12" s="24" t="str">
        <f>IF(AND(Table1[[#This Row],[Phase in RDP 2022]]=Table1[[#This Row],[Phase in RDP 2023]], Table1[[#This Row],[Phase in RDP 2023]]=Table1[[#This Row],[Phase in RDP 2024]]),"Yes", "No")</f>
        <v>Yes</v>
      </c>
      <c r="T12" s="59">
        <v>45803</v>
      </c>
      <c r="U12" s="24">
        <v>2</v>
      </c>
      <c r="V12" s="24">
        <f t="shared" si="0"/>
        <v>1</v>
      </c>
      <c r="W12" s="79"/>
    </row>
    <row r="13" spans="1:23" s="77" customFormat="1" ht="14.45" customHeight="1" x14ac:dyDescent="0.2">
      <c r="A13" s="24" t="s">
        <v>8</v>
      </c>
      <c r="B13" s="45" t="s">
        <v>268</v>
      </c>
      <c r="C13" s="24">
        <v>897240</v>
      </c>
      <c r="D13" s="45" t="s">
        <v>38</v>
      </c>
      <c r="E13" s="46" t="s">
        <v>318</v>
      </c>
      <c r="F13" s="24" t="s">
        <v>124</v>
      </c>
      <c r="G13" s="47">
        <v>41090</v>
      </c>
      <c r="H13" s="24">
        <v>12</v>
      </c>
      <c r="I13" s="176" t="s">
        <v>266</v>
      </c>
      <c r="J13" s="24" t="s">
        <v>23</v>
      </c>
      <c r="K13" s="24" t="s">
        <v>23</v>
      </c>
      <c r="L13" s="24" t="s">
        <v>100</v>
      </c>
      <c r="M13" s="154" t="s">
        <v>383</v>
      </c>
      <c r="N13" s="48"/>
      <c r="O13" s="59"/>
      <c r="P13" s="24">
        <v>2</v>
      </c>
      <c r="Q13" s="59"/>
      <c r="R13" s="24">
        <v>2</v>
      </c>
      <c r="S13" s="24" t="str">
        <f>IF(AND(Table1[[#This Row],[Phase in RDP 2022]]=Table1[[#This Row],[Phase in RDP 2023]], Table1[[#This Row],[Phase in RDP 2023]]=Table1[[#This Row],[Phase in RDP 2024]]),"Yes", "No")</f>
        <v>No</v>
      </c>
      <c r="T13" s="59">
        <v>45803</v>
      </c>
      <c r="U13" s="24">
        <v>3</v>
      </c>
      <c r="V13" s="24">
        <f t="shared" si="0"/>
        <v>1</v>
      </c>
      <c r="W13" s="79"/>
    </row>
    <row r="14" spans="1:23" s="77" customFormat="1" ht="14.45" customHeight="1" x14ac:dyDescent="0.2">
      <c r="A14" s="25" t="s">
        <v>9</v>
      </c>
      <c r="B14" s="17" t="s">
        <v>39</v>
      </c>
      <c r="C14" s="25">
        <v>294325</v>
      </c>
      <c r="D14" s="17" t="s">
        <v>20</v>
      </c>
      <c r="E14" s="26" t="s">
        <v>19</v>
      </c>
      <c r="F14" s="25" t="s">
        <v>124</v>
      </c>
      <c r="G14" s="27">
        <v>41048</v>
      </c>
      <c r="H14" s="25">
        <v>12</v>
      </c>
      <c r="I14" s="17"/>
      <c r="J14" s="25" t="s">
        <v>23</v>
      </c>
      <c r="K14" s="25" t="s">
        <v>23</v>
      </c>
      <c r="L14" s="25" t="s">
        <v>99</v>
      </c>
      <c r="M14" s="167" t="s">
        <v>432</v>
      </c>
      <c r="N14" s="74">
        <v>2</v>
      </c>
      <c r="O14" s="182">
        <v>45117</v>
      </c>
      <c r="P14" s="25">
        <v>2</v>
      </c>
      <c r="Q14" s="28">
        <v>45425</v>
      </c>
      <c r="R14" s="25">
        <v>3</v>
      </c>
      <c r="S14" s="25" t="str">
        <f>IF(AND(Table1[[#This Row],[Phase in RDP 2022]]=Table1[[#This Row],[Phase in RDP 2023]], Table1[[#This Row],[Phase in RDP 2023]]=Table1[[#This Row],[Phase in RDP 2024]]),"Yes", "No")</f>
        <v>No</v>
      </c>
      <c r="T14" s="28">
        <v>45852</v>
      </c>
      <c r="U14" s="25">
        <v>3</v>
      </c>
      <c r="V14" s="25">
        <f t="shared" si="0"/>
        <v>0</v>
      </c>
      <c r="W14" s="76" t="s">
        <v>136</v>
      </c>
    </row>
    <row r="15" spans="1:23" s="77" customFormat="1" ht="14.45" customHeight="1" x14ac:dyDescent="0.2">
      <c r="A15" s="29" t="s">
        <v>5</v>
      </c>
      <c r="B15" s="20" t="s">
        <v>59</v>
      </c>
      <c r="C15" s="29">
        <v>294531</v>
      </c>
      <c r="D15" s="20" t="s">
        <v>226</v>
      </c>
      <c r="E15" s="30" t="s">
        <v>220</v>
      </c>
      <c r="F15" s="29" t="s">
        <v>124</v>
      </c>
      <c r="G15" s="31">
        <v>41254</v>
      </c>
      <c r="H15" s="29">
        <v>13</v>
      </c>
      <c r="I15" s="20" t="s">
        <v>221</v>
      </c>
      <c r="J15" s="29" t="s">
        <v>23</v>
      </c>
      <c r="K15" s="29" t="s">
        <v>23</v>
      </c>
      <c r="L15" s="29" t="s">
        <v>100</v>
      </c>
      <c r="M15" s="149" t="s">
        <v>339</v>
      </c>
      <c r="N15" s="73">
        <v>1</v>
      </c>
      <c r="O15" s="33"/>
      <c r="P15" s="51">
        <v>2</v>
      </c>
      <c r="Q15" s="33">
        <v>45453</v>
      </c>
      <c r="R15" s="135">
        <v>2</v>
      </c>
      <c r="S15" s="135" t="str">
        <f>IF(AND(Table1[[#This Row],[Phase in RDP 2022]]=Table1[[#This Row],[Phase in RDP 2023]], Table1[[#This Row],[Phase in RDP 2023]]=Table1[[#This Row],[Phase in RDP 2024]]),"Yes", "No")</f>
        <v>No</v>
      </c>
      <c r="T15" s="33">
        <v>45852</v>
      </c>
      <c r="U15" s="135">
        <v>2</v>
      </c>
      <c r="V15" s="135">
        <f t="shared" si="0"/>
        <v>0</v>
      </c>
      <c r="W15" s="84" t="s">
        <v>136</v>
      </c>
    </row>
    <row r="16" spans="1:23" s="92" customFormat="1" ht="14.45" customHeight="1" x14ac:dyDescent="0.2">
      <c r="A16" s="15" t="s">
        <v>7</v>
      </c>
      <c r="B16" s="34" t="s">
        <v>297</v>
      </c>
      <c r="C16" s="15">
        <v>896209</v>
      </c>
      <c r="D16" s="34" t="s">
        <v>97</v>
      </c>
      <c r="E16" s="14" t="s">
        <v>317</v>
      </c>
      <c r="F16" s="15" t="s">
        <v>124</v>
      </c>
      <c r="G16" s="15">
        <v>2009</v>
      </c>
      <c r="H16" s="15">
        <v>12</v>
      </c>
      <c r="I16" s="34" t="s">
        <v>266</v>
      </c>
      <c r="J16" s="15" t="s">
        <v>23</v>
      </c>
      <c r="K16" s="15" t="s">
        <v>23</v>
      </c>
      <c r="L16" s="15" t="s">
        <v>100</v>
      </c>
      <c r="M16" s="141" t="s">
        <v>298</v>
      </c>
      <c r="N16" s="32" t="s">
        <v>92</v>
      </c>
      <c r="O16" s="127"/>
      <c r="P16" s="52">
        <v>2</v>
      </c>
      <c r="Q16" s="183"/>
      <c r="R16" s="52">
        <v>2</v>
      </c>
      <c r="S16" s="125" t="str">
        <f>IF(AND(Table1[[#This Row],[Phase in RDP 2022]]=Table1[[#This Row],[Phase in RDP 2023]], Table1[[#This Row],[Phase in RDP 2023]]=Table1[[#This Row],[Phase in RDP 2024]]),"Yes", "No")</f>
        <v>No</v>
      </c>
      <c r="T16" s="127">
        <v>45852</v>
      </c>
      <c r="U16" s="52">
        <v>2</v>
      </c>
      <c r="V16" s="52">
        <f t="shared" si="0"/>
        <v>0</v>
      </c>
      <c r="W16" s="90" t="s">
        <v>136</v>
      </c>
    </row>
    <row r="17" spans="1:23" s="92" customFormat="1" ht="14.45" customHeight="1" x14ac:dyDescent="0.2">
      <c r="A17" s="24" t="s">
        <v>8</v>
      </c>
      <c r="B17" s="115" t="s">
        <v>54</v>
      </c>
      <c r="C17" s="24">
        <v>784801</v>
      </c>
      <c r="D17" s="45" t="s">
        <v>269</v>
      </c>
      <c r="E17" s="46" t="s">
        <v>245</v>
      </c>
      <c r="F17" s="24" t="s">
        <v>124</v>
      </c>
      <c r="G17" s="47">
        <v>42246</v>
      </c>
      <c r="H17" s="24">
        <v>12</v>
      </c>
      <c r="I17" s="115" t="s">
        <v>295</v>
      </c>
      <c r="J17" s="24" t="s">
        <v>23</v>
      </c>
      <c r="K17" s="24" t="s">
        <v>23</v>
      </c>
      <c r="L17" s="24" t="s">
        <v>100</v>
      </c>
      <c r="M17" s="153" t="s">
        <v>371</v>
      </c>
      <c r="N17" s="78">
        <v>1</v>
      </c>
      <c r="O17" s="66"/>
      <c r="P17" s="24">
        <v>1</v>
      </c>
      <c r="Q17" s="66"/>
      <c r="R17" s="24">
        <v>2</v>
      </c>
      <c r="S17" s="146" t="str">
        <f>IF(AND(Table1[[#This Row],[Phase in RDP 2022]]=Table1[[#This Row],[Phase in RDP 2023]], Table1[[#This Row],[Phase in RDP 2023]]=Table1[[#This Row],[Phase in RDP 2024]]),"Yes", "No")</f>
        <v>No</v>
      </c>
      <c r="T17" s="66">
        <v>45852</v>
      </c>
      <c r="U17" s="24">
        <v>3</v>
      </c>
      <c r="V17" s="24">
        <f t="shared" si="0"/>
        <v>1</v>
      </c>
      <c r="W17" s="23" t="s">
        <v>136</v>
      </c>
    </row>
    <row r="18" spans="1:23" s="92" customFormat="1" ht="14.45" customHeight="1" x14ac:dyDescent="0.2">
      <c r="A18" s="41" t="s">
        <v>10</v>
      </c>
      <c r="B18" s="40" t="s">
        <v>181</v>
      </c>
      <c r="C18" s="41">
        <v>810287</v>
      </c>
      <c r="D18" s="40" t="s">
        <v>208</v>
      </c>
      <c r="E18" s="42" t="s">
        <v>392</v>
      </c>
      <c r="F18" s="41" t="s">
        <v>125</v>
      </c>
      <c r="G18" s="43" t="s">
        <v>393</v>
      </c>
      <c r="H18" s="41">
        <v>12</v>
      </c>
      <c r="I18" s="3" t="s">
        <v>264</v>
      </c>
      <c r="J18" s="41" t="s">
        <v>23</v>
      </c>
      <c r="K18" s="41" t="s">
        <v>23</v>
      </c>
      <c r="L18" s="41" t="s">
        <v>100</v>
      </c>
      <c r="M18" s="213" t="s">
        <v>394</v>
      </c>
      <c r="N18" s="71">
        <v>2</v>
      </c>
      <c r="O18" s="68"/>
      <c r="P18" s="41">
        <v>2</v>
      </c>
      <c r="Q18" s="68">
        <v>45425</v>
      </c>
      <c r="R18" s="41">
        <v>2</v>
      </c>
      <c r="S18" s="145" t="str">
        <f>IF(AND(Table1[[#This Row],[Phase in RDP 2022]]=Table1[[#This Row],[Phase in RDP 2023]], Table1[[#This Row],[Phase in RDP 2023]]=Table1[[#This Row],[Phase in RDP 2024]]),"Yes", "No")</f>
        <v>Yes</v>
      </c>
      <c r="T18" s="241">
        <v>45866</v>
      </c>
      <c r="U18" s="41"/>
      <c r="V18" s="41">
        <f t="shared" si="0"/>
        <v>0</v>
      </c>
      <c r="W18" s="22" t="s">
        <v>136</v>
      </c>
    </row>
    <row r="19" spans="1:23" s="92" customFormat="1" ht="14.45" customHeight="1" x14ac:dyDescent="0.2">
      <c r="A19" s="29" t="s">
        <v>5</v>
      </c>
      <c r="B19" s="20" t="s">
        <v>207</v>
      </c>
      <c r="C19" s="29">
        <v>795736</v>
      </c>
      <c r="D19" s="30" t="s">
        <v>49</v>
      </c>
      <c r="E19" s="30" t="s">
        <v>255</v>
      </c>
      <c r="F19" s="29" t="s">
        <v>125</v>
      </c>
      <c r="G19" s="31">
        <v>40725</v>
      </c>
      <c r="H19" s="29">
        <v>12</v>
      </c>
      <c r="I19" s="20" t="s">
        <v>337</v>
      </c>
      <c r="J19" s="29" t="s">
        <v>23</v>
      </c>
      <c r="K19" s="29" t="s">
        <v>23</v>
      </c>
      <c r="L19" s="29" t="s">
        <v>99</v>
      </c>
      <c r="M19" s="149" t="s">
        <v>338</v>
      </c>
      <c r="N19" s="73">
        <v>1</v>
      </c>
      <c r="O19" s="144"/>
      <c r="P19" s="51">
        <v>1</v>
      </c>
      <c r="Q19" s="226">
        <v>45313</v>
      </c>
      <c r="R19" s="51">
        <v>2</v>
      </c>
      <c r="S19" s="144" t="str">
        <f>IF(AND(Table1[[#This Row],[Phase in RDP 2022]]=Table1[[#This Row],[Phase in RDP 2023]], Table1[[#This Row],[Phase in RDP 2023]]=Table1[[#This Row],[Phase in RDP 2024]]),"Yes", "No")</f>
        <v>No</v>
      </c>
      <c r="T19" s="226">
        <v>45866</v>
      </c>
      <c r="U19" s="51"/>
      <c r="V19" s="51">
        <f t="shared" si="0"/>
        <v>0</v>
      </c>
      <c r="W19" s="18" t="s">
        <v>136</v>
      </c>
    </row>
    <row r="20" spans="1:23" s="77" customFormat="1" ht="14.45" customHeight="1" x14ac:dyDescent="0.2">
      <c r="A20" s="29" t="s">
        <v>5</v>
      </c>
      <c r="B20" s="63" t="s">
        <v>42</v>
      </c>
      <c r="C20" s="51">
        <v>294480</v>
      </c>
      <c r="D20" s="30" t="s">
        <v>226</v>
      </c>
      <c r="E20" s="30" t="s">
        <v>155</v>
      </c>
      <c r="F20" s="29" t="s">
        <v>124</v>
      </c>
      <c r="G20" s="31" t="s">
        <v>60</v>
      </c>
      <c r="H20" s="29">
        <v>13</v>
      </c>
      <c r="I20" s="20" t="s">
        <v>227</v>
      </c>
      <c r="J20" s="29" t="s">
        <v>23</v>
      </c>
      <c r="K20" s="29" t="s">
        <v>23</v>
      </c>
      <c r="L20" s="29" t="s">
        <v>100</v>
      </c>
      <c r="M20" s="148" t="s">
        <v>335</v>
      </c>
      <c r="N20" s="73">
        <v>1</v>
      </c>
      <c r="O20" s="51"/>
      <c r="P20" s="51">
        <v>2</v>
      </c>
      <c r="Q20" s="195">
        <v>45453</v>
      </c>
      <c r="R20" s="135">
        <v>2</v>
      </c>
      <c r="S20" s="135" t="str">
        <f>IF(AND(Table1[[#This Row],[Phase in RDP 2022]]=Table1[[#This Row],[Phase in RDP 2023]], Table1[[#This Row],[Phase in RDP 2023]]=Table1[[#This Row],[Phase in RDP 2024]]),"Yes", "No")</f>
        <v>No</v>
      </c>
      <c r="T20" s="195">
        <v>45866</v>
      </c>
      <c r="U20" s="135"/>
      <c r="V20" s="135">
        <f t="shared" si="0"/>
        <v>0</v>
      </c>
      <c r="W20" s="84" t="s">
        <v>136</v>
      </c>
    </row>
    <row r="21" spans="1:23" s="77" customFormat="1" ht="14.45" customHeight="1" x14ac:dyDescent="0.2">
      <c r="A21" s="24" t="s">
        <v>8</v>
      </c>
      <c r="B21" s="45" t="s">
        <v>46</v>
      </c>
      <c r="C21" s="24">
        <v>289774</v>
      </c>
      <c r="D21" s="45" t="s">
        <v>368</v>
      </c>
      <c r="E21" s="46" t="s">
        <v>16</v>
      </c>
      <c r="F21" s="24" t="s">
        <v>124</v>
      </c>
      <c r="G21" s="78">
        <v>2011</v>
      </c>
      <c r="H21" s="24">
        <v>14</v>
      </c>
      <c r="I21" s="45" t="s">
        <v>145</v>
      </c>
      <c r="J21" s="24" t="s">
        <v>23</v>
      </c>
      <c r="K21" s="24" t="s">
        <v>369</v>
      </c>
      <c r="L21" s="24" t="s">
        <v>100</v>
      </c>
      <c r="M21" s="153" t="s">
        <v>370</v>
      </c>
      <c r="N21" s="78">
        <v>2</v>
      </c>
      <c r="O21" s="59" t="s">
        <v>196</v>
      </c>
      <c r="P21" s="57">
        <v>2</v>
      </c>
      <c r="Q21" s="59"/>
      <c r="R21" s="57">
        <v>2</v>
      </c>
      <c r="S21" s="57" t="str">
        <f>IF(AND(Table1[[#This Row],[Phase in RDP 2022]]=Table1[[#This Row],[Phase in RDP 2023]], Table1[[#This Row],[Phase in RDP 2023]]=Table1[[#This Row],[Phase in RDP 2024]]),"Yes", "No")</f>
        <v>Yes</v>
      </c>
      <c r="T21" s="59">
        <v>45894</v>
      </c>
      <c r="U21" s="57"/>
      <c r="V21" s="57">
        <f t="shared" si="0"/>
        <v>0</v>
      </c>
      <c r="W21" s="79" t="s">
        <v>136</v>
      </c>
    </row>
    <row r="22" spans="1:23" s="86" customFormat="1" ht="14.45" customHeight="1" x14ac:dyDescent="0.2">
      <c r="A22" s="15" t="s">
        <v>7</v>
      </c>
      <c r="B22" s="34" t="s">
        <v>351</v>
      </c>
      <c r="C22" s="15">
        <v>284720</v>
      </c>
      <c r="D22" s="34" t="s">
        <v>243</v>
      </c>
      <c r="E22" s="14" t="s">
        <v>352</v>
      </c>
      <c r="F22" s="15" t="s">
        <v>124</v>
      </c>
      <c r="G22" s="15" t="s">
        <v>65</v>
      </c>
      <c r="H22" s="15">
        <v>14</v>
      </c>
      <c r="I22" s="34" t="s">
        <v>353</v>
      </c>
      <c r="J22" s="15" t="s">
        <v>23</v>
      </c>
      <c r="K22" s="15" t="s">
        <v>23</v>
      </c>
      <c r="L22" s="15" t="s">
        <v>100</v>
      </c>
      <c r="M22" s="150" t="s">
        <v>354</v>
      </c>
      <c r="N22" s="15">
        <v>1</v>
      </c>
      <c r="O22" s="15"/>
      <c r="P22" s="15">
        <v>1</v>
      </c>
      <c r="Q22" s="60"/>
      <c r="R22" s="15">
        <v>1</v>
      </c>
      <c r="S22" s="15" t="str">
        <f>IF(AND(Table1[[#This Row],[Phase in RDP 2022]]=Table1[[#This Row],[Phase in RDP 2023]], Table1[[#This Row],[Phase in RDP 2023]]=Table1[[#This Row],[Phase in RDP 2024]]),"Yes", "No")</f>
        <v>Yes</v>
      </c>
      <c r="T22" s="60">
        <v>45915</v>
      </c>
      <c r="U22" s="15"/>
      <c r="V22" s="15">
        <f t="shared" si="0"/>
        <v>0</v>
      </c>
      <c r="W22" s="136" t="s">
        <v>136</v>
      </c>
    </row>
    <row r="23" spans="1:23" s="86" customFormat="1" ht="14.45" customHeight="1" x14ac:dyDescent="0.2">
      <c r="A23" s="41" t="s">
        <v>10</v>
      </c>
      <c r="B23" s="40" t="s">
        <v>257</v>
      </c>
      <c r="C23" s="41">
        <v>298871</v>
      </c>
      <c r="D23" s="40" t="s">
        <v>36</v>
      </c>
      <c r="E23" s="40" t="s">
        <v>316</v>
      </c>
      <c r="F23" s="41" t="s">
        <v>124</v>
      </c>
      <c r="G23" s="41">
        <v>2016</v>
      </c>
      <c r="H23" s="41">
        <v>13</v>
      </c>
      <c r="I23" s="40" t="s">
        <v>266</v>
      </c>
      <c r="J23" s="41" t="s">
        <v>23</v>
      </c>
      <c r="K23" s="41" t="s">
        <v>23</v>
      </c>
      <c r="L23" s="41" t="s">
        <v>100</v>
      </c>
      <c r="M23" s="155" t="s">
        <v>403</v>
      </c>
      <c r="N23" s="40"/>
      <c r="O23" s="40"/>
      <c r="P23" s="41">
        <v>1</v>
      </c>
      <c r="Q23" s="40"/>
      <c r="R23" s="41">
        <v>1</v>
      </c>
      <c r="S23" s="41" t="str">
        <f>IF(AND(Table1[[#This Row],[Phase in RDP 2022]]=Table1[[#This Row],[Phase in RDP 2023]], Table1[[#This Row],[Phase in RDP 2023]]=Table1[[#This Row],[Phase in RDP 2024]]),"Yes", "No")</f>
        <v>No</v>
      </c>
      <c r="T23" s="188">
        <v>45957</v>
      </c>
      <c r="U23" s="41"/>
      <c r="V23" s="41">
        <f t="shared" si="0"/>
        <v>0</v>
      </c>
      <c r="W23" s="113" t="s">
        <v>136</v>
      </c>
    </row>
    <row r="24" spans="1:23" s="77" customFormat="1" ht="14.45" customHeight="1" x14ac:dyDescent="0.2">
      <c r="A24" s="24" t="s">
        <v>8</v>
      </c>
      <c r="B24" s="45" t="s">
        <v>12</v>
      </c>
      <c r="C24" s="171">
        <v>298854</v>
      </c>
      <c r="D24" s="115" t="s">
        <v>430</v>
      </c>
      <c r="E24" s="172" t="s">
        <v>234</v>
      </c>
      <c r="F24" s="171" t="s">
        <v>124</v>
      </c>
      <c r="G24" s="175">
        <v>41398</v>
      </c>
      <c r="H24" s="171">
        <v>11</v>
      </c>
      <c r="I24" s="115" t="s">
        <v>380</v>
      </c>
      <c r="J24" s="24" t="s">
        <v>23</v>
      </c>
      <c r="K24" s="24" t="s">
        <v>23</v>
      </c>
      <c r="L24" s="24" t="s">
        <v>99</v>
      </c>
      <c r="M24" s="153" t="s">
        <v>435</v>
      </c>
      <c r="N24" s="78">
        <v>1</v>
      </c>
      <c r="O24" s="59"/>
      <c r="P24" s="57">
        <v>1</v>
      </c>
      <c r="Q24" s="59"/>
      <c r="R24" s="57">
        <v>1</v>
      </c>
      <c r="S24" s="57" t="str">
        <f>IF(AND(Table1[[#This Row],[Phase in RDP 2022]]=Table1[[#This Row],[Phase in RDP 2023]], Table1[[#This Row],[Phase in RDP 2023]]=Table1[[#This Row],[Phase in RDP 2024]]),"Yes", "No")</f>
        <v>Yes</v>
      </c>
      <c r="T24" s="59">
        <v>45957</v>
      </c>
      <c r="U24" s="57"/>
      <c r="V24" s="57">
        <f t="shared" si="0"/>
        <v>0</v>
      </c>
      <c r="W24" s="79" t="s">
        <v>136</v>
      </c>
    </row>
    <row r="25" spans="1:23" s="77" customFormat="1" ht="14.45" customHeight="1" x14ac:dyDescent="0.2">
      <c r="A25" s="25" t="s">
        <v>9</v>
      </c>
      <c r="B25" s="17" t="s">
        <v>40</v>
      </c>
      <c r="C25" s="25">
        <v>743461</v>
      </c>
      <c r="D25" s="17" t="s">
        <v>448</v>
      </c>
      <c r="E25" s="26" t="s">
        <v>242</v>
      </c>
      <c r="F25" s="25" t="s">
        <v>124</v>
      </c>
      <c r="G25" s="27">
        <v>41760</v>
      </c>
      <c r="H25" s="25">
        <v>11</v>
      </c>
      <c r="I25" s="17" t="s">
        <v>306</v>
      </c>
      <c r="J25" s="25" t="s">
        <v>23</v>
      </c>
      <c r="K25" s="25" t="s">
        <v>23</v>
      </c>
      <c r="L25" s="25" t="s">
        <v>100</v>
      </c>
      <c r="M25" s="25" t="s">
        <v>447</v>
      </c>
      <c r="N25" s="74">
        <v>1</v>
      </c>
      <c r="O25" s="25"/>
      <c r="P25" s="25">
        <v>2</v>
      </c>
      <c r="Q25" s="28">
        <v>45600</v>
      </c>
      <c r="R25" s="25">
        <v>2</v>
      </c>
      <c r="S25" s="25" t="str">
        <f>IF(AND(Table1[[#This Row],[Phase in RDP 2022]]=Table1[[#This Row],[Phase in RDP 2023]], Table1[[#This Row],[Phase in RDP 2023]]=Table1[[#This Row],[Phase in RDP 2024]]),"Yes", "No")</f>
        <v>No</v>
      </c>
      <c r="T25" s="28">
        <v>45971</v>
      </c>
      <c r="U25" s="25">
        <v>2</v>
      </c>
      <c r="V25" s="25">
        <f t="shared" si="0"/>
        <v>0</v>
      </c>
      <c r="W25" s="76" t="s">
        <v>136</v>
      </c>
    </row>
    <row r="26" spans="1:23" s="77" customFormat="1" ht="14.45" customHeight="1" x14ac:dyDescent="0.2">
      <c r="A26" s="15" t="s">
        <v>7</v>
      </c>
      <c r="B26" s="34" t="s">
        <v>58</v>
      </c>
      <c r="C26" s="15">
        <v>767728</v>
      </c>
      <c r="D26" s="34" t="s">
        <v>43</v>
      </c>
      <c r="E26" s="14" t="s">
        <v>341</v>
      </c>
      <c r="F26" s="15" t="s">
        <v>125</v>
      </c>
      <c r="G26" s="35" t="s">
        <v>66</v>
      </c>
      <c r="H26" s="15">
        <v>13</v>
      </c>
      <c r="I26" s="34" t="s">
        <v>145</v>
      </c>
      <c r="J26" s="15" t="s">
        <v>23</v>
      </c>
      <c r="K26" s="15" t="s">
        <v>23</v>
      </c>
      <c r="L26" s="15" t="s">
        <v>100</v>
      </c>
      <c r="M26" s="150" t="s">
        <v>342</v>
      </c>
      <c r="N26" s="72">
        <v>1</v>
      </c>
      <c r="O26" s="60">
        <v>45208</v>
      </c>
      <c r="P26" s="52">
        <v>2</v>
      </c>
      <c r="Q26" s="60">
        <v>45383</v>
      </c>
      <c r="R26" s="52">
        <v>2</v>
      </c>
      <c r="S26" s="52" t="str">
        <f>IF(AND(Table1[[#This Row],[Phase in RDP 2022]]=Table1[[#This Row],[Phase in RDP 2023]], Table1[[#This Row],[Phase in RDP 2023]]=Table1[[#This Row],[Phase in RDP 2024]]),"Yes", "No")</f>
        <v>No</v>
      </c>
      <c r="T26" s="60">
        <v>45971</v>
      </c>
      <c r="U26" s="52">
        <v>2</v>
      </c>
      <c r="V26" s="52">
        <f t="shared" si="0"/>
        <v>0</v>
      </c>
      <c r="W26" s="90" t="s">
        <v>136</v>
      </c>
    </row>
    <row r="27" spans="1:23" s="77" customFormat="1" ht="14.45" customHeight="1" x14ac:dyDescent="0.2">
      <c r="A27" s="41" t="s">
        <v>10</v>
      </c>
      <c r="B27" s="40" t="s">
        <v>33</v>
      </c>
      <c r="C27" s="41">
        <v>289733</v>
      </c>
      <c r="D27" s="40" t="s">
        <v>287</v>
      </c>
      <c r="E27" s="42" t="s">
        <v>11</v>
      </c>
      <c r="F27" s="41" t="s">
        <v>125</v>
      </c>
      <c r="G27" s="43" t="s">
        <v>63</v>
      </c>
      <c r="H27" s="41">
        <v>13</v>
      </c>
      <c r="I27" s="40" t="s">
        <v>146</v>
      </c>
      <c r="J27" s="41" t="s">
        <v>23</v>
      </c>
      <c r="K27" s="41" t="s">
        <v>23</v>
      </c>
      <c r="L27" s="41" t="s">
        <v>100</v>
      </c>
      <c r="M27" s="155" t="s">
        <v>384</v>
      </c>
      <c r="N27" s="71">
        <v>2</v>
      </c>
      <c r="O27" s="44" t="s">
        <v>196</v>
      </c>
      <c r="P27" s="55">
        <v>2</v>
      </c>
      <c r="Q27" s="44">
        <v>45495</v>
      </c>
      <c r="R27" s="55">
        <v>3</v>
      </c>
      <c r="S27" s="55" t="str">
        <f>IF(AND(Table1[[#This Row],[Phase in RDP 2022]]=Table1[[#This Row],[Phase in RDP 2023]], Table1[[#This Row],[Phase in RDP 2023]]=Table1[[#This Row],[Phase in RDP 2024]]),"Yes", "No")</f>
        <v>No</v>
      </c>
      <c r="T27" s="188">
        <v>45971</v>
      </c>
      <c r="U27" s="55">
        <v>3</v>
      </c>
      <c r="V27" s="55">
        <f t="shared" si="0"/>
        <v>0</v>
      </c>
      <c r="W27" s="113" t="s">
        <v>136</v>
      </c>
    </row>
    <row r="28" spans="1:23" s="86" customFormat="1" ht="14.45" customHeight="1" x14ac:dyDescent="0.2">
      <c r="A28" s="41" t="s">
        <v>10</v>
      </c>
      <c r="B28" s="156" t="s">
        <v>115</v>
      </c>
      <c r="C28" s="157">
        <v>297253</v>
      </c>
      <c r="D28" s="156" t="s">
        <v>389</v>
      </c>
      <c r="E28" s="156" t="s">
        <v>116</v>
      </c>
      <c r="F28" s="157" t="s">
        <v>124</v>
      </c>
      <c r="G28" s="157">
        <v>2009</v>
      </c>
      <c r="H28" s="157">
        <v>13</v>
      </c>
      <c r="I28" s="156" t="s">
        <v>309</v>
      </c>
      <c r="J28" s="157" t="s">
        <v>23</v>
      </c>
      <c r="K28" s="157" t="s">
        <v>23</v>
      </c>
      <c r="L28" s="157" t="s">
        <v>100</v>
      </c>
      <c r="M28" s="215" t="s">
        <v>310</v>
      </c>
      <c r="N28" s="71">
        <v>2</v>
      </c>
      <c r="O28" s="68"/>
      <c r="P28" s="41">
        <v>2</v>
      </c>
      <c r="Q28" s="68"/>
      <c r="R28" s="41">
        <v>2</v>
      </c>
      <c r="S28" s="145" t="str">
        <f>IF(AND(Table1[[#This Row],[Phase in RDP 2022]]=Table1[[#This Row],[Phase in RDP 2023]], Table1[[#This Row],[Phase in RDP 2023]]=Table1[[#This Row],[Phase in RDP 2024]]),"Yes", "No")</f>
        <v>Yes</v>
      </c>
      <c r="T28" s="188">
        <v>45971</v>
      </c>
      <c r="U28" s="41">
        <v>3</v>
      </c>
      <c r="V28" s="41">
        <f t="shared" si="0"/>
        <v>1</v>
      </c>
      <c r="W28" s="186" t="s">
        <v>136</v>
      </c>
    </row>
    <row r="29" spans="1:23" s="77" customFormat="1" ht="14.45" customHeight="1" x14ac:dyDescent="0.2">
      <c r="A29" s="25" t="s">
        <v>9</v>
      </c>
      <c r="B29" s="17" t="s">
        <v>80</v>
      </c>
      <c r="C29" s="25">
        <v>277109</v>
      </c>
      <c r="D29" s="17" t="s">
        <v>272</v>
      </c>
      <c r="E29" s="26" t="s">
        <v>81</v>
      </c>
      <c r="F29" s="25" t="s">
        <v>124</v>
      </c>
      <c r="G29" s="27">
        <v>2007</v>
      </c>
      <c r="H29" s="25">
        <v>14</v>
      </c>
      <c r="I29" s="17" t="s">
        <v>119</v>
      </c>
      <c r="J29" s="25" t="s">
        <v>23</v>
      </c>
      <c r="K29" s="25" t="s">
        <v>141</v>
      </c>
      <c r="L29" s="25" t="s">
        <v>99</v>
      </c>
      <c r="M29" s="168" t="s">
        <v>239</v>
      </c>
      <c r="N29" s="74">
        <v>1</v>
      </c>
      <c r="O29" s="28"/>
      <c r="P29" s="25">
        <v>2</v>
      </c>
      <c r="Q29" s="85">
        <v>45572</v>
      </c>
      <c r="R29" s="25">
        <v>2</v>
      </c>
      <c r="S29" s="25" t="str">
        <f>IF(AND(Table1[[#This Row],[Phase in RDP 2022]]=Table1[[#This Row],[Phase in RDP 2023]], Table1[[#This Row],[Phase in RDP 2023]]=Table1[[#This Row],[Phase in RDP 2024]]),"Yes", "No")</f>
        <v>No</v>
      </c>
      <c r="T29" s="85">
        <v>45985</v>
      </c>
      <c r="U29" s="25">
        <v>3</v>
      </c>
      <c r="V29" s="25">
        <f t="shared" si="0"/>
        <v>1</v>
      </c>
      <c r="W29" s="76" t="s">
        <v>136</v>
      </c>
    </row>
    <row r="30" spans="1:23" s="77" customFormat="1" ht="14.45" customHeight="1" x14ac:dyDescent="0.2">
      <c r="A30" s="25" t="s">
        <v>9</v>
      </c>
      <c r="B30" s="17" t="s">
        <v>184</v>
      </c>
      <c r="C30" s="25">
        <v>792507</v>
      </c>
      <c r="D30" s="17" t="s">
        <v>275</v>
      </c>
      <c r="E30" s="26" t="s">
        <v>247</v>
      </c>
      <c r="F30" s="25" t="s">
        <v>124</v>
      </c>
      <c r="G30" s="74">
        <v>2018</v>
      </c>
      <c r="H30" s="25">
        <v>12</v>
      </c>
      <c r="I30" s="2" t="s">
        <v>305</v>
      </c>
      <c r="J30" s="25" t="s">
        <v>22</v>
      </c>
      <c r="K30" s="25" t="s">
        <v>22</v>
      </c>
      <c r="L30" s="25"/>
      <c r="M30" s="168" t="s">
        <v>283</v>
      </c>
      <c r="N30" s="74">
        <v>1</v>
      </c>
      <c r="O30" s="28"/>
      <c r="P30" s="25">
        <v>1</v>
      </c>
      <c r="Q30" s="28"/>
      <c r="R30" s="25">
        <v>1</v>
      </c>
      <c r="S30" s="25" t="str">
        <f>IF(AND(Table1[[#This Row],[Phase in RDP 2022]]=Table1[[#This Row],[Phase in RDP 2023]], Table1[[#This Row],[Phase in RDP 2023]]=Table1[[#This Row],[Phase in RDP 2024]]),"Yes", "No")</f>
        <v>Yes</v>
      </c>
      <c r="T30" s="202">
        <v>45985</v>
      </c>
      <c r="U30" s="25">
        <v>1</v>
      </c>
      <c r="V30" s="25">
        <f t="shared" si="0"/>
        <v>0</v>
      </c>
      <c r="W30" s="76" t="s">
        <v>136</v>
      </c>
    </row>
    <row r="31" spans="1:23" s="77" customFormat="1" ht="14.45" customHeight="1" x14ac:dyDescent="0.2">
      <c r="A31" s="15" t="s">
        <v>7</v>
      </c>
      <c r="B31" s="34" t="s">
        <v>189</v>
      </c>
      <c r="C31" s="15">
        <v>768810</v>
      </c>
      <c r="D31" s="34" t="s">
        <v>206</v>
      </c>
      <c r="E31" s="14" t="s">
        <v>347</v>
      </c>
      <c r="F31" s="15" t="s">
        <v>124</v>
      </c>
      <c r="G31" s="15" t="s">
        <v>282</v>
      </c>
      <c r="H31" s="15">
        <v>12</v>
      </c>
      <c r="I31" s="34" t="s">
        <v>348</v>
      </c>
      <c r="J31" s="15" t="s">
        <v>23</v>
      </c>
      <c r="K31" s="15" t="s">
        <v>23</v>
      </c>
      <c r="L31" s="15" t="s">
        <v>349</v>
      </c>
      <c r="M31" s="150" t="s">
        <v>281</v>
      </c>
      <c r="N31" s="15">
        <v>1</v>
      </c>
      <c r="O31" s="15"/>
      <c r="P31" s="15">
        <v>1</v>
      </c>
      <c r="Q31" s="60">
        <v>45600</v>
      </c>
      <c r="R31" s="15">
        <v>1</v>
      </c>
      <c r="S31" s="15" t="str">
        <f>IF(AND(Table1[[#This Row],[Phase in RDP 2022]]=Table1[[#This Row],[Phase in RDP 2023]], Table1[[#This Row],[Phase in RDP 2023]]=Table1[[#This Row],[Phase in RDP 2024]]),"Yes", "No")</f>
        <v>Yes</v>
      </c>
      <c r="T31" s="60">
        <v>45985</v>
      </c>
      <c r="U31" s="15">
        <v>1</v>
      </c>
      <c r="V31" s="15">
        <f t="shared" si="0"/>
        <v>0</v>
      </c>
      <c r="W31" s="136" t="s">
        <v>136</v>
      </c>
    </row>
    <row r="32" spans="1:23" s="77" customFormat="1" ht="14.45" customHeight="1" x14ac:dyDescent="0.2">
      <c r="A32" s="41" t="s">
        <v>10</v>
      </c>
      <c r="B32" s="40" t="s">
        <v>70</v>
      </c>
      <c r="C32" s="41" t="s">
        <v>76</v>
      </c>
      <c r="D32" s="40" t="s">
        <v>292</v>
      </c>
      <c r="E32" s="42" t="s">
        <v>71</v>
      </c>
      <c r="F32" s="41" t="s">
        <v>124</v>
      </c>
      <c r="G32" s="43" t="s">
        <v>144</v>
      </c>
      <c r="H32" s="41">
        <v>13</v>
      </c>
      <c r="I32" s="40"/>
      <c r="J32" s="41" t="s">
        <v>23</v>
      </c>
      <c r="K32" s="41" t="s">
        <v>23</v>
      </c>
      <c r="L32" s="41" t="s">
        <v>100</v>
      </c>
      <c r="M32" s="158" t="s">
        <v>436</v>
      </c>
      <c r="N32" s="71">
        <v>3</v>
      </c>
      <c r="O32" s="44">
        <v>45195</v>
      </c>
      <c r="P32" s="41">
        <v>3</v>
      </c>
      <c r="Q32" s="44">
        <v>45572</v>
      </c>
      <c r="R32" s="41">
        <v>3</v>
      </c>
      <c r="S32" s="41" t="str">
        <f>IF(AND(Table1[[#This Row],[Phase in RDP 2022]]=Table1[[#This Row],[Phase in RDP 2023]], Table1[[#This Row],[Phase in RDP 2023]]=Table1[[#This Row],[Phase in RDP 2024]]),"Yes", "No")</f>
        <v>Yes</v>
      </c>
      <c r="T32" s="188">
        <v>45985</v>
      </c>
      <c r="U32" s="41" t="s">
        <v>195</v>
      </c>
      <c r="V32" s="41">
        <f t="shared" si="0"/>
        <v>1</v>
      </c>
      <c r="W32" s="113" t="s">
        <v>137</v>
      </c>
    </row>
    <row r="33" spans="1:23" s="77" customFormat="1" ht="14.45" customHeight="1" x14ac:dyDescent="0.2">
      <c r="A33" s="25" t="s">
        <v>9</v>
      </c>
      <c r="B33" s="17" t="s">
        <v>101</v>
      </c>
      <c r="C33" s="25">
        <v>299111</v>
      </c>
      <c r="D33" s="159" t="s">
        <v>398</v>
      </c>
      <c r="E33" s="26" t="s">
        <v>102</v>
      </c>
      <c r="F33" s="25" t="s">
        <v>125</v>
      </c>
      <c r="G33" s="28">
        <v>41788</v>
      </c>
      <c r="H33" s="25">
        <v>12</v>
      </c>
      <c r="I33" s="17" t="s">
        <v>278</v>
      </c>
      <c r="J33" s="25" t="s">
        <v>23</v>
      </c>
      <c r="K33" s="25" t="s">
        <v>280</v>
      </c>
      <c r="L33" s="25" t="s">
        <v>98</v>
      </c>
      <c r="M33" s="168" t="s">
        <v>433</v>
      </c>
      <c r="N33" s="74">
        <v>2</v>
      </c>
      <c r="O33" s="28">
        <v>45264</v>
      </c>
      <c r="P33" s="25">
        <v>3</v>
      </c>
      <c r="Q33" s="28"/>
      <c r="R33" s="25">
        <v>3</v>
      </c>
      <c r="S33" s="25" t="str">
        <f>IF(AND(Table1[[#This Row],[Phase in RDP 2022]]=Table1[[#This Row],[Phase in RDP 2023]], Table1[[#This Row],[Phase in RDP 2023]]=Table1[[#This Row],[Phase in RDP 2024]]),"Yes", "No")</f>
        <v>No</v>
      </c>
      <c r="T33" s="28" t="s">
        <v>198</v>
      </c>
      <c r="U33" s="25"/>
      <c r="V33" s="25">
        <f t="shared" si="0"/>
        <v>0</v>
      </c>
      <c r="W33" s="76" t="s">
        <v>136</v>
      </c>
    </row>
    <row r="34" spans="1:23" s="77" customFormat="1" ht="14.45" customHeight="1" x14ac:dyDescent="0.2">
      <c r="A34" s="41" t="s">
        <v>10</v>
      </c>
      <c r="B34" s="42" t="s">
        <v>112</v>
      </c>
      <c r="C34" s="41" t="s">
        <v>77</v>
      </c>
      <c r="D34" s="40" t="s">
        <v>292</v>
      </c>
      <c r="E34" s="42" t="s">
        <v>71</v>
      </c>
      <c r="F34" s="41" t="s">
        <v>124</v>
      </c>
      <c r="G34" s="43">
        <v>42152</v>
      </c>
      <c r="H34" s="41">
        <v>12</v>
      </c>
      <c r="I34" s="40"/>
      <c r="J34" s="41" t="s">
        <v>23</v>
      </c>
      <c r="K34" s="41" t="s">
        <v>23</v>
      </c>
      <c r="L34" s="41" t="s">
        <v>99</v>
      </c>
      <c r="M34" s="158" t="s">
        <v>434</v>
      </c>
      <c r="N34" s="71">
        <v>2</v>
      </c>
      <c r="O34" s="204">
        <v>44991</v>
      </c>
      <c r="P34" s="41">
        <v>3</v>
      </c>
      <c r="Q34" s="204">
        <v>45495</v>
      </c>
      <c r="R34" s="41">
        <v>3</v>
      </c>
      <c r="S34" s="41" t="str">
        <f>IF(AND(Table1[[#This Row],[Phase in RDP 2022]]=Table1[[#This Row],[Phase in RDP 2023]], Table1[[#This Row],[Phase in RDP 2023]]=Table1[[#This Row],[Phase in RDP 2024]]),"Yes", "No")</f>
        <v>No</v>
      </c>
      <c r="T34" s="188">
        <v>45999</v>
      </c>
      <c r="U34" s="41" t="s">
        <v>195</v>
      </c>
      <c r="V34" s="41">
        <f t="shared" ref="V34:V65" si="1">_xlfn.IFS((U34="New"),0,(U34="Grad"),1,(U34-R34=1),1,(U34-R34=0),0,(U34=""),0,(U34="Drop"),0)</f>
        <v>1</v>
      </c>
      <c r="W34" s="113" t="s">
        <v>136</v>
      </c>
    </row>
    <row r="35" spans="1:23" s="77" customFormat="1" ht="14.45" customHeight="1" x14ac:dyDescent="0.2">
      <c r="A35" s="24" t="s">
        <v>8</v>
      </c>
      <c r="B35" s="45" t="s">
        <v>267</v>
      </c>
      <c r="C35" s="189">
        <v>782168</v>
      </c>
      <c r="D35" s="190" t="s">
        <v>269</v>
      </c>
      <c r="E35" s="46" t="s">
        <v>270</v>
      </c>
      <c r="F35" s="24" t="s">
        <v>125</v>
      </c>
      <c r="G35" s="47">
        <v>43971</v>
      </c>
      <c r="H35" s="24">
        <v>11</v>
      </c>
      <c r="I35" s="176" t="s">
        <v>266</v>
      </c>
      <c r="J35" s="24" t="s">
        <v>23</v>
      </c>
      <c r="K35" s="24" t="s">
        <v>23</v>
      </c>
      <c r="L35" s="24"/>
      <c r="M35" s="154" t="s">
        <v>382</v>
      </c>
      <c r="N35" s="48" t="s">
        <v>28</v>
      </c>
      <c r="O35" s="237"/>
      <c r="P35" s="24">
        <v>1</v>
      </c>
      <c r="Q35" s="237"/>
      <c r="R35" s="24">
        <v>1</v>
      </c>
      <c r="S35" s="189" t="str">
        <f>IF(AND(Table1[[#This Row],[Phase in RDP 2022]]=Table1[[#This Row],[Phase in RDP 2023]], Table1[[#This Row],[Phase in RDP 2023]]=Table1[[#This Row],[Phase in RDP 2024]]),"Yes", "No")</f>
        <v>No</v>
      </c>
      <c r="T35" s="59">
        <v>45999</v>
      </c>
      <c r="U35" s="24">
        <v>2</v>
      </c>
      <c r="V35" s="24">
        <f t="shared" si="1"/>
        <v>1</v>
      </c>
      <c r="W35" s="79"/>
    </row>
    <row r="36" spans="1:23" s="77" customFormat="1" ht="14.45" customHeight="1" x14ac:dyDescent="0.2">
      <c r="A36" s="25" t="s">
        <v>9</v>
      </c>
      <c r="B36" s="205" t="s">
        <v>165</v>
      </c>
      <c r="C36" s="25">
        <v>784597</v>
      </c>
      <c r="D36" s="17"/>
      <c r="E36" s="26" t="s">
        <v>210</v>
      </c>
      <c r="F36" s="25" t="s">
        <v>124</v>
      </c>
      <c r="G36" s="74">
        <v>2017</v>
      </c>
      <c r="H36" s="25">
        <v>12</v>
      </c>
      <c r="I36" s="17" t="s">
        <v>427</v>
      </c>
      <c r="J36" s="25" t="s">
        <v>22</v>
      </c>
      <c r="K36" s="25" t="s">
        <v>22</v>
      </c>
      <c r="L36" s="25" t="s">
        <v>99</v>
      </c>
      <c r="M36" s="168" t="s">
        <v>428</v>
      </c>
      <c r="N36" s="222">
        <v>1</v>
      </c>
      <c r="O36" s="235"/>
      <c r="P36" s="169">
        <v>1</v>
      </c>
      <c r="Q36" s="235"/>
      <c r="R36" s="169">
        <v>1</v>
      </c>
      <c r="S36" s="169" t="str">
        <f>IF(AND(Table1[[#This Row],[Phase in RDP 2022]]=Table1[[#This Row],[Phase in RDP 2023]], Table1[[#This Row],[Phase in RDP 2023]]=Table1[[#This Row],[Phase in RDP 2024]]),"Yes", "No")</f>
        <v>Yes</v>
      </c>
      <c r="T36" s="28">
        <v>46013</v>
      </c>
      <c r="U36" s="169"/>
      <c r="V36" s="169">
        <f t="shared" si="1"/>
        <v>0</v>
      </c>
      <c r="W36" s="229" t="s">
        <v>136</v>
      </c>
    </row>
    <row r="37" spans="1:23" s="77" customFormat="1" ht="14.45" customHeight="1" x14ac:dyDescent="0.2">
      <c r="A37" s="25" t="s">
        <v>9</v>
      </c>
      <c r="B37" s="17" t="s">
        <v>187</v>
      </c>
      <c r="C37" s="25">
        <v>810092</v>
      </c>
      <c r="D37" s="17" t="s">
        <v>200</v>
      </c>
      <c r="E37" s="26" t="s">
        <v>241</v>
      </c>
      <c r="F37" s="25" t="s">
        <v>125</v>
      </c>
      <c r="G37" s="74">
        <v>2018</v>
      </c>
      <c r="H37" s="25">
        <v>11</v>
      </c>
      <c r="I37" s="12" t="s">
        <v>265</v>
      </c>
      <c r="J37" s="25" t="s">
        <v>23</v>
      </c>
      <c r="K37" s="25" t="s">
        <v>23</v>
      </c>
      <c r="L37" s="25" t="s">
        <v>98</v>
      </c>
      <c r="M37" s="168" t="s">
        <v>437</v>
      </c>
      <c r="N37" s="74">
        <v>1</v>
      </c>
      <c r="O37" s="67"/>
      <c r="P37" s="25">
        <v>1</v>
      </c>
      <c r="Q37" s="67">
        <v>45327</v>
      </c>
      <c r="R37" s="25">
        <v>1</v>
      </c>
      <c r="S37" s="143" t="str">
        <f>IF(AND(Table1[[#This Row],[Phase in RDP 2022]]=Table1[[#This Row],[Phase in RDP 2023]], Table1[[#This Row],[Phase in RDP 2023]]=Table1[[#This Row],[Phase in RDP 2024]]),"Yes", "No")</f>
        <v>Yes</v>
      </c>
      <c r="T37" s="28">
        <v>46013</v>
      </c>
      <c r="U37" s="25"/>
      <c r="V37" s="25">
        <f t="shared" si="1"/>
        <v>0</v>
      </c>
      <c r="W37" s="93" t="s">
        <v>136</v>
      </c>
    </row>
    <row r="38" spans="1:23" s="77" customFormat="1" ht="14.45" customHeight="1" x14ac:dyDescent="0.2">
      <c r="A38" s="41" t="s">
        <v>10</v>
      </c>
      <c r="B38" s="40" t="s">
        <v>148</v>
      </c>
      <c r="C38" s="41">
        <v>761867</v>
      </c>
      <c r="D38" s="42" t="s">
        <v>113</v>
      </c>
      <c r="E38" s="42" t="s">
        <v>158</v>
      </c>
      <c r="F38" s="173" t="s">
        <v>124</v>
      </c>
      <c r="G38" s="41" t="s">
        <v>144</v>
      </c>
      <c r="H38" s="41" t="s">
        <v>174</v>
      </c>
      <c r="I38" s="3" t="s">
        <v>395</v>
      </c>
      <c r="J38" s="41" t="s">
        <v>23</v>
      </c>
      <c r="K38" s="41" t="s">
        <v>23</v>
      </c>
      <c r="L38" s="41" t="s">
        <v>442</v>
      </c>
      <c r="M38" s="213" t="s">
        <v>438</v>
      </c>
      <c r="N38" s="71">
        <v>1</v>
      </c>
      <c r="O38" s="44"/>
      <c r="P38" s="41">
        <v>1</v>
      </c>
      <c r="Q38" s="44"/>
      <c r="R38" s="41">
        <v>1</v>
      </c>
      <c r="S38" s="41" t="str">
        <f>IF(AND(Table1[[#This Row],[Phase in RDP 2022]]=Table1[[#This Row],[Phase in RDP 2023]], Table1[[#This Row],[Phase in RDP 2023]]=Table1[[#This Row],[Phase in RDP 2024]]),"Yes", "No")</f>
        <v>Yes</v>
      </c>
      <c r="T38" s="188">
        <v>46013</v>
      </c>
      <c r="U38" s="41"/>
      <c r="V38" s="41">
        <f t="shared" si="1"/>
        <v>0</v>
      </c>
      <c r="W38" s="113" t="s">
        <v>136</v>
      </c>
    </row>
    <row r="39" spans="1:23" s="77" customFormat="1" ht="14.45" customHeight="1" x14ac:dyDescent="0.2">
      <c r="A39" s="41" t="s">
        <v>10</v>
      </c>
      <c r="B39" s="40" t="s">
        <v>260</v>
      </c>
      <c r="C39" s="41">
        <v>812039</v>
      </c>
      <c r="D39" s="40" t="s">
        <v>113</v>
      </c>
      <c r="E39" s="40" t="s">
        <v>408</v>
      </c>
      <c r="F39" s="41" t="s">
        <v>125</v>
      </c>
      <c r="G39" s="41" t="s">
        <v>409</v>
      </c>
      <c r="H39" s="41">
        <v>12</v>
      </c>
      <c r="I39" s="3" t="s">
        <v>266</v>
      </c>
      <c r="J39" s="41" t="s">
        <v>23</v>
      </c>
      <c r="K39" s="41" t="s">
        <v>23</v>
      </c>
      <c r="L39" s="41" t="s">
        <v>99</v>
      </c>
      <c r="M39" s="155" t="s">
        <v>440</v>
      </c>
      <c r="N39" s="40"/>
      <c r="O39" s="40"/>
      <c r="P39" s="41">
        <v>1</v>
      </c>
      <c r="Q39" s="40"/>
      <c r="R39" s="41">
        <v>1</v>
      </c>
      <c r="S39" s="41" t="str">
        <f>IF(AND(Table1[[#This Row],[Phase in RDP 2022]]=Table1[[#This Row],[Phase in RDP 2023]], Table1[[#This Row],[Phase in RDP 2023]]=Table1[[#This Row],[Phase in RDP 2024]]),"Yes", "No")</f>
        <v>No</v>
      </c>
      <c r="T39" s="188">
        <v>46013</v>
      </c>
      <c r="U39" s="41"/>
      <c r="V39" s="41">
        <f t="shared" si="1"/>
        <v>0</v>
      </c>
      <c r="W39" s="113" t="s">
        <v>136</v>
      </c>
    </row>
    <row r="40" spans="1:23" s="77" customFormat="1" ht="14.45" customHeight="1" x14ac:dyDescent="0.2">
      <c r="A40" s="24" t="s">
        <v>8</v>
      </c>
      <c r="B40" s="45" t="s">
        <v>201</v>
      </c>
      <c r="C40" s="24">
        <v>768942</v>
      </c>
      <c r="D40" s="45" t="s">
        <v>164</v>
      </c>
      <c r="E40" s="46"/>
      <c r="F40" s="191" t="s">
        <v>124</v>
      </c>
      <c r="G40" s="78">
        <v>2018</v>
      </c>
      <c r="H40" s="24"/>
      <c r="I40" s="176" t="s">
        <v>62</v>
      </c>
      <c r="J40" s="24" t="s">
        <v>22</v>
      </c>
      <c r="K40" s="24" t="s">
        <v>294</v>
      </c>
      <c r="L40" s="24" t="s">
        <v>223</v>
      </c>
      <c r="M40" s="58" t="s">
        <v>224</v>
      </c>
      <c r="N40" s="78">
        <v>1</v>
      </c>
      <c r="O40" s="59"/>
      <c r="P40" s="24">
        <v>1</v>
      </c>
      <c r="Q40" s="59"/>
      <c r="R40" s="24">
        <v>1</v>
      </c>
      <c r="S40" s="24" t="str">
        <f>IF(AND(Table1[[#This Row],[Phase in RDP 2022]]=Table1[[#This Row],[Phase in RDP 2023]], Table1[[#This Row],[Phase in RDP 2023]]=Table1[[#This Row],[Phase in RDP 2024]]),"Yes", "No")</f>
        <v>Yes</v>
      </c>
      <c r="T40" s="59" t="s">
        <v>198</v>
      </c>
      <c r="U40" s="24"/>
      <c r="V40" s="24">
        <f t="shared" si="1"/>
        <v>0</v>
      </c>
      <c r="W40" s="79"/>
    </row>
    <row r="41" spans="1:23" s="77" customFormat="1" ht="14.45" customHeight="1" x14ac:dyDescent="0.2">
      <c r="A41" s="29" t="s">
        <v>5</v>
      </c>
      <c r="B41" s="20" t="s">
        <v>88</v>
      </c>
      <c r="C41" s="29">
        <v>780089</v>
      </c>
      <c r="D41" s="20" t="s">
        <v>118</v>
      </c>
      <c r="E41" s="30" t="s">
        <v>73</v>
      </c>
      <c r="F41" s="192" t="s">
        <v>124</v>
      </c>
      <c r="G41" s="29">
        <v>2015</v>
      </c>
      <c r="H41" s="29">
        <v>12</v>
      </c>
      <c r="I41" s="20" t="s">
        <v>325</v>
      </c>
      <c r="J41" s="29" t="s">
        <v>22</v>
      </c>
      <c r="K41" s="29" t="s">
        <v>151</v>
      </c>
      <c r="L41" s="29" t="s">
        <v>99</v>
      </c>
      <c r="M41" s="149" t="s">
        <v>326</v>
      </c>
      <c r="N41" s="73">
        <v>1</v>
      </c>
      <c r="O41" s="33"/>
      <c r="P41" s="29">
        <v>1</v>
      </c>
      <c r="Q41" s="33"/>
      <c r="R41" s="29">
        <v>1</v>
      </c>
      <c r="S41" s="29" t="str">
        <f>IF(AND(Table1[[#This Row],[Phase in RDP 2022]]=Table1[[#This Row],[Phase in RDP 2023]], Table1[[#This Row],[Phase in RDP 2023]]=Table1[[#This Row],[Phase in RDP 2024]]),"Yes", "No")</f>
        <v>Yes</v>
      </c>
      <c r="T41" s="33" t="s">
        <v>198</v>
      </c>
      <c r="U41" s="29"/>
      <c r="V41" s="29">
        <f t="shared" si="1"/>
        <v>0</v>
      </c>
      <c r="W41" s="84" t="s">
        <v>136</v>
      </c>
    </row>
    <row r="42" spans="1:23" s="77" customFormat="1" ht="14.45" customHeight="1" x14ac:dyDescent="0.2">
      <c r="A42" s="25" t="s">
        <v>9</v>
      </c>
      <c r="B42" s="17" t="s">
        <v>15</v>
      </c>
      <c r="C42" s="25">
        <v>264584</v>
      </c>
      <c r="D42" s="17" t="s">
        <v>150</v>
      </c>
      <c r="E42" s="26" t="s">
        <v>84</v>
      </c>
      <c r="F42" s="169" t="s">
        <v>124</v>
      </c>
      <c r="G42" s="27">
        <v>40043</v>
      </c>
      <c r="H42" s="25">
        <v>12</v>
      </c>
      <c r="I42" s="17" t="s">
        <v>314</v>
      </c>
      <c r="J42" s="25" t="s">
        <v>23</v>
      </c>
      <c r="K42" s="25" t="s">
        <v>280</v>
      </c>
      <c r="L42" s="25" t="s">
        <v>99</v>
      </c>
      <c r="M42" s="50" t="s">
        <v>93</v>
      </c>
      <c r="N42" s="74">
        <v>2</v>
      </c>
      <c r="O42" s="85">
        <v>44963</v>
      </c>
      <c r="P42" s="25">
        <v>2</v>
      </c>
      <c r="Q42" s="85">
        <v>45327</v>
      </c>
      <c r="R42" s="25">
        <v>2</v>
      </c>
      <c r="S42" s="25" t="str">
        <f>IF(AND(Table1[[#This Row],[Phase in RDP 2022]]=Table1[[#This Row],[Phase in RDP 2023]], Table1[[#This Row],[Phase in RDP 2023]]=Table1[[#This Row],[Phase in RDP 2024]]),"Yes", "No")</f>
        <v>Yes</v>
      </c>
      <c r="T42" s="49" t="s">
        <v>198</v>
      </c>
      <c r="U42" s="25"/>
      <c r="V42" s="25">
        <f t="shared" si="1"/>
        <v>0</v>
      </c>
      <c r="W42" s="76" t="s">
        <v>136</v>
      </c>
    </row>
    <row r="43" spans="1:23" s="77" customFormat="1" ht="14.45" customHeight="1" x14ac:dyDescent="0.2">
      <c r="A43" s="29" t="s">
        <v>5</v>
      </c>
      <c r="B43" s="20" t="s">
        <v>142</v>
      </c>
      <c r="C43" s="29">
        <v>746841</v>
      </c>
      <c r="D43" s="30" t="s">
        <v>253</v>
      </c>
      <c r="E43" s="30" t="s">
        <v>254</v>
      </c>
      <c r="F43" s="192" t="s">
        <v>125</v>
      </c>
      <c r="G43" s="29" t="s">
        <v>144</v>
      </c>
      <c r="H43" s="29">
        <v>11</v>
      </c>
      <c r="I43" s="20" t="s">
        <v>329</v>
      </c>
      <c r="J43" s="29" t="s">
        <v>23</v>
      </c>
      <c r="K43" s="29" t="s">
        <v>141</v>
      </c>
      <c r="L43" s="29" t="s">
        <v>99</v>
      </c>
      <c r="M43" s="148" t="s">
        <v>330</v>
      </c>
      <c r="N43" s="73">
        <v>2</v>
      </c>
      <c r="O43" s="33"/>
      <c r="P43" s="51">
        <v>2</v>
      </c>
      <c r="Q43" s="33"/>
      <c r="R43" s="51">
        <v>2</v>
      </c>
      <c r="S43" s="51" t="str">
        <f>IF(AND(Table1[[#This Row],[Phase in RDP 2022]]=Table1[[#This Row],[Phase in RDP 2023]], Table1[[#This Row],[Phase in RDP 2023]]=Table1[[#This Row],[Phase in RDP 2024]]),"Yes", "No")</f>
        <v>Yes</v>
      </c>
      <c r="T43" s="33" t="s">
        <v>198</v>
      </c>
      <c r="U43" s="51"/>
      <c r="V43" s="51">
        <f t="shared" si="1"/>
        <v>0</v>
      </c>
      <c r="W43" s="84" t="s">
        <v>136</v>
      </c>
    </row>
    <row r="44" spans="1:23" s="77" customFormat="1" ht="14.45" customHeight="1" x14ac:dyDescent="0.2">
      <c r="A44" s="36" t="s">
        <v>6</v>
      </c>
      <c r="B44" s="21" t="s">
        <v>69</v>
      </c>
      <c r="C44" s="36">
        <v>743631</v>
      </c>
      <c r="D44" s="21" t="s">
        <v>44</v>
      </c>
      <c r="E44" s="37" t="s">
        <v>53</v>
      </c>
      <c r="F44" s="174" t="s">
        <v>124</v>
      </c>
      <c r="G44" s="38">
        <v>41629</v>
      </c>
      <c r="H44" s="36">
        <v>12</v>
      </c>
      <c r="I44" s="21" t="s">
        <v>358</v>
      </c>
      <c r="J44" s="36" t="s">
        <v>23</v>
      </c>
      <c r="K44" s="36" t="s">
        <v>23</v>
      </c>
      <c r="L44" s="36" t="s">
        <v>100</v>
      </c>
      <c r="M44" s="64" t="s">
        <v>78</v>
      </c>
      <c r="N44" s="80">
        <v>1</v>
      </c>
      <c r="O44" s="39"/>
      <c r="P44" s="36">
        <v>1</v>
      </c>
      <c r="Q44" s="39"/>
      <c r="R44" s="36">
        <v>1</v>
      </c>
      <c r="S44" s="36" t="str">
        <f>IF(AND(Table1[[#This Row],[Phase in RDP 2022]]=Table1[[#This Row],[Phase in RDP 2023]], Table1[[#This Row],[Phase in RDP 2023]]=Table1[[#This Row],[Phase in RDP 2024]]),"Yes", "No")</f>
        <v>Yes</v>
      </c>
      <c r="T44" s="39" t="s">
        <v>198</v>
      </c>
      <c r="U44" s="36"/>
      <c r="V44" s="36">
        <f t="shared" si="1"/>
        <v>0</v>
      </c>
      <c r="W44" s="81" t="s">
        <v>136</v>
      </c>
    </row>
    <row r="45" spans="1:23" s="77" customFormat="1" ht="14.45" customHeight="1" x14ac:dyDescent="0.2">
      <c r="A45" s="41" t="s">
        <v>10</v>
      </c>
      <c r="B45" s="40" t="s">
        <v>258</v>
      </c>
      <c r="C45" s="129">
        <v>763826</v>
      </c>
      <c r="D45" s="40" t="s">
        <v>404</v>
      </c>
      <c r="E45" s="40" t="s">
        <v>405</v>
      </c>
      <c r="F45" s="173" t="s">
        <v>125</v>
      </c>
      <c r="G45" s="41" t="s">
        <v>406</v>
      </c>
      <c r="H45" s="41">
        <v>11</v>
      </c>
      <c r="I45" s="3" t="s">
        <v>266</v>
      </c>
      <c r="J45" s="41" t="s">
        <v>23</v>
      </c>
      <c r="K45" s="41" t="s">
        <v>23</v>
      </c>
      <c r="L45" s="40"/>
      <c r="M45" s="213" t="s">
        <v>431</v>
      </c>
      <c r="N45" s="40"/>
      <c r="O45" s="40"/>
      <c r="P45" s="41">
        <v>1</v>
      </c>
      <c r="Q45" s="40"/>
      <c r="R45" s="41">
        <v>1</v>
      </c>
      <c r="S45" s="41" t="str">
        <f>IF(AND(Table1[[#This Row],[Phase in RDP 2022]]=Table1[[#This Row],[Phase in RDP 2023]], Table1[[#This Row],[Phase in RDP 2023]]=Table1[[#This Row],[Phase in RDP 2024]]),"Yes", "No")</f>
        <v>No</v>
      </c>
      <c r="T45" s="188" t="s">
        <v>198</v>
      </c>
      <c r="U45" s="41"/>
      <c r="V45" s="41">
        <f t="shared" si="1"/>
        <v>0</v>
      </c>
      <c r="W45" s="113" t="s">
        <v>136</v>
      </c>
    </row>
    <row r="46" spans="1:23" s="77" customFormat="1" ht="14.45" customHeight="1" x14ac:dyDescent="0.2">
      <c r="A46" s="41" t="s">
        <v>10</v>
      </c>
      <c r="B46" s="40" t="s">
        <v>385</v>
      </c>
      <c r="C46" s="41">
        <v>747711</v>
      </c>
      <c r="D46" s="42" t="s">
        <v>36</v>
      </c>
      <c r="E46" s="42" t="s">
        <v>57</v>
      </c>
      <c r="F46" s="41" t="s">
        <v>124</v>
      </c>
      <c r="G46" s="71">
        <v>2016</v>
      </c>
      <c r="H46" s="41">
        <v>12</v>
      </c>
      <c r="I46" s="40" t="s">
        <v>386</v>
      </c>
      <c r="J46" s="41" t="s">
        <v>22</v>
      </c>
      <c r="K46" s="41" t="s">
        <v>387</v>
      </c>
      <c r="L46" s="41" t="s">
        <v>100</v>
      </c>
      <c r="M46" s="213" t="s">
        <v>388</v>
      </c>
      <c r="N46" s="71">
        <v>1</v>
      </c>
      <c r="O46" s="44"/>
      <c r="P46" s="41">
        <v>1</v>
      </c>
      <c r="Q46" s="44"/>
      <c r="R46" s="41">
        <v>1</v>
      </c>
      <c r="S46" s="41" t="str">
        <f>IF(AND(Table1[[#This Row],[Phase in RDP 2022]]=Table1[[#This Row],[Phase in RDP 2023]], Table1[[#This Row],[Phase in RDP 2023]]=Table1[[#This Row],[Phase in RDP 2024]]),"Yes", "No")</f>
        <v>Yes</v>
      </c>
      <c r="T46" s="162" t="s">
        <v>198</v>
      </c>
      <c r="U46" s="41"/>
      <c r="V46" s="41">
        <f t="shared" si="1"/>
        <v>0</v>
      </c>
      <c r="W46" s="22" t="s">
        <v>136</v>
      </c>
    </row>
    <row r="47" spans="1:23" s="77" customFormat="1" ht="14.45" customHeight="1" x14ac:dyDescent="0.2">
      <c r="A47" s="25" t="s">
        <v>9</v>
      </c>
      <c r="B47" s="17" t="s">
        <v>85</v>
      </c>
      <c r="C47" s="25">
        <v>743462</v>
      </c>
      <c r="D47" s="17" t="s">
        <v>273</v>
      </c>
      <c r="E47" s="26" t="s">
        <v>246</v>
      </c>
      <c r="F47" s="25" t="s">
        <v>124</v>
      </c>
      <c r="G47" s="25">
        <v>2014</v>
      </c>
      <c r="H47" s="25">
        <v>12</v>
      </c>
      <c r="I47" s="17" t="s">
        <v>119</v>
      </c>
      <c r="J47" s="25" t="s">
        <v>23</v>
      </c>
      <c r="K47" s="25" t="s">
        <v>141</v>
      </c>
      <c r="L47" s="25" t="s">
        <v>99</v>
      </c>
      <c r="M47" s="50"/>
      <c r="N47" s="74">
        <v>1</v>
      </c>
      <c r="O47" s="85"/>
      <c r="P47" s="25">
        <v>1</v>
      </c>
      <c r="Q47" s="85"/>
      <c r="R47" s="25">
        <v>1</v>
      </c>
      <c r="S47" s="25" t="str">
        <f>IF(AND(Table1[[#This Row],[Phase in RDP 2022]]=Table1[[#This Row],[Phase in RDP 2023]], Table1[[#This Row],[Phase in RDP 2023]]=Table1[[#This Row],[Phase in RDP 2024]]),"Yes", "No")</f>
        <v>Yes</v>
      </c>
      <c r="T47" s="85" t="s">
        <v>198</v>
      </c>
      <c r="U47" s="25"/>
      <c r="V47" s="25">
        <f t="shared" si="1"/>
        <v>0</v>
      </c>
      <c r="W47" s="93" t="s">
        <v>136</v>
      </c>
    </row>
    <row r="48" spans="1:23" s="77" customFormat="1" ht="14.45" customHeight="1" x14ac:dyDescent="0.2">
      <c r="A48" s="41" t="s">
        <v>10</v>
      </c>
      <c r="B48" s="40" t="s">
        <v>259</v>
      </c>
      <c r="C48" s="129"/>
      <c r="D48" s="40" t="s">
        <v>113</v>
      </c>
      <c r="E48" s="40" t="s">
        <v>407</v>
      </c>
      <c r="F48" s="41" t="s">
        <v>125</v>
      </c>
      <c r="G48" s="41" t="s">
        <v>144</v>
      </c>
      <c r="H48" s="41">
        <v>12</v>
      </c>
      <c r="I48" s="3" t="s">
        <v>32</v>
      </c>
      <c r="J48" s="41" t="s">
        <v>22</v>
      </c>
      <c r="K48" s="41" t="s">
        <v>387</v>
      </c>
      <c r="L48" s="41" t="s">
        <v>99</v>
      </c>
      <c r="M48" s="234"/>
      <c r="N48" s="40"/>
      <c r="O48" s="40"/>
      <c r="P48" s="41">
        <v>1</v>
      </c>
      <c r="Q48" s="40"/>
      <c r="R48" s="40">
        <v>1</v>
      </c>
      <c r="S48" s="40" t="str">
        <f>IF(AND(Table1[[#This Row],[Phase in RDP 2022]]=Table1[[#This Row],[Phase in RDP 2023]], Table1[[#This Row],[Phase in RDP 2023]]=Table1[[#This Row],[Phase in RDP 2024]]),"Yes", "No")</f>
        <v>No</v>
      </c>
      <c r="T48" s="164" t="s">
        <v>198</v>
      </c>
      <c r="U48" s="40"/>
      <c r="V48" s="41">
        <f t="shared" si="1"/>
        <v>0</v>
      </c>
      <c r="W48" s="91" t="s">
        <v>136</v>
      </c>
    </row>
    <row r="49" spans="1:23" s="77" customFormat="1" ht="14.45" customHeight="1" x14ac:dyDescent="0.2">
      <c r="A49" s="41" t="s">
        <v>10</v>
      </c>
      <c r="B49" s="156" t="s">
        <v>256</v>
      </c>
      <c r="C49" s="157" t="s">
        <v>397</v>
      </c>
      <c r="D49" s="159" t="s">
        <v>398</v>
      </c>
      <c r="E49" s="156" t="s">
        <v>399</v>
      </c>
      <c r="F49" s="157" t="s">
        <v>400</v>
      </c>
      <c r="G49" s="157" t="s">
        <v>401</v>
      </c>
      <c r="H49" s="157">
        <v>12</v>
      </c>
      <c r="I49" s="160" t="s">
        <v>266</v>
      </c>
      <c r="J49" s="157" t="s">
        <v>23</v>
      </c>
      <c r="K49" s="157" t="s">
        <v>141</v>
      </c>
      <c r="L49" s="156" t="s">
        <v>99</v>
      </c>
      <c r="M49" s="200" t="s">
        <v>402</v>
      </c>
      <c r="N49" s="40"/>
      <c r="O49" s="40"/>
      <c r="P49" s="41">
        <v>1</v>
      </c>
      <c r="Q49" s="40"/>
      <c r="R49" s="40">
        <v>1</v>
      </c>
      <c r="S49" s="40" t="str">
        <f>IF(AND(Table1[[#This Row],[Phase in RDP 2022]]=Table1[[#This Row],[Phase in RDP 2023]], Table1[[#This Row],[Phase in RDP 2023]]=Table1[[#This Row],[Phase in RDP 2024]]),"Yes", "No")</f>
        <v>No</v>
      </c>
      <c r="T49" s="157" t="s">
        <v>198</v>
      </c>
      <c r="U49" s="40"/>
      <c r="V49" s="41">
        <f t="shared" si="1"/>
        <v>0</v>
      </c>
      <c r="W49" s="91" t="s">
        <v>136</v>
      </c>
    </row>
    <row r="50" spans="1:23" s="77" customFormat="1" ht="14.45" customHeight="1" x14ac:dyDescent="0.2">
      <c r="A50" s="24" t="s">
        <v>8</v>
      </c>
      <c r="B50" s="45" t="s">
        <v>170</v>
      </c>
      <c r="C50" s="24">
        <v>785167</v>
      </c>
      <c r="D50" s="45" t="s">
        <v>168</v>
      </c>
      <c r="E50" s="46" t="s">
        <v>228</v>
      </c>
      <c r="F50" s="24" t="s">
        <v>125</v>
      </c>
      <c r="G50" s="47"/>
      <c r="H50" s="24" t="s">
        <v>144</v>
      </c>
      <c r="I50" s="45" t="s">
        <v>62</v>
      </c>
      <c r="J50" s="24" t="s">
        <v>22</v>
      </c>
      <c r="K50" s="24" t="s">
        <v>293</v>
      </c>
      <c r="L50" s="24" t="s">
        <v>99</v>
      </c>
      <c r="M50" s="128" t="s">
        <v>381</v>
      </c>
      <c r="N50" s="78">
        <v>1</v>
      </c>
      <c r="O50" s="59"/>
      <c r="P50" s="24">
        <v>1</v>
      </c>
      <c r="Q50" s="59"/>
      <c r="R50" s="24">
        <v>1</v>
      </c>
      <c r="S50" s="24" t="str">
        <f>IF(AND(Table1[[#This Row],[Phase in RDP 2022]]=Table1[[#This Row],[Phase in RDP 2023]], Table1[[#This Row],[Phase in RDP 2023]]=Table1[[#This Row],[Phase in RDP 2024]]),"Yes", "No")</f>
        <v>Yes</v>
      </c>
      <c r="T50" s="59" t="s">
        <v>198</v>
      </c>
      <c r="U50" s="24"/>
      <c r="V50" s="24">
        <f t="shared" si="1"/>
        <v>0</v>
      </c>
      <c r="W50" s="23" t="s">
        <v>136</v>
      </c>
    </row>
    <row r="51" spans="1:23" s="77" customFormat="1" ht="14.45" customHeight="1" x14ac:dyDescent="0.2">
      <c r="A51" s="41" t="s">
        <v>10</v>
      </c>
      <c r="B51" s="40" t="s">
        <v>126</v>
      </c>
      <c r="C51" s="41">
        <v>752347</v>
      </c>
      <c r="D51" s="40" t="s">
        <v>113</v>
      </c>
      <c r="E51" s="42" t="s">
        <v>158</v>
      </c>
      <c r="F51" s="41" t="s">
        <v>125</v>
      </c>
      <c r="G51" s="41" t="s">
        <v>144</v>
      </c>
      <c r="H51" s="41" t="s">
        <v>144</v>
      </c>
      <c r="I51" s="3" t="s">
        <v>62</v>
      </c>
      <c r="J51" s="41" t="s">
        <v>22</v>
      </c>
      <c r="K51" s="41" t="s">
        <v>387</v>
      </c>
      <c r="L51" s="41" t="s">
        <v>99</v>
      </c>
      <c r="M51" s="56"/>
      <c r="N51" s="71">
        <v>1</v>
      </c>
      <c r="O51" s="68"/>
      <c r="P51" s="41">
        <v>1</v>
      </c>
      <c r="Q51" s="68"/>
      <c r="R51" s="41">
        <v>1</v>
      </c>
      <c r="S51" s="145" t="str">
        <f>IF(AND(Table1[[#This Row],[Phase in RDP 2022]]=Table1[[#This Row],[Phase in RDP 2023]], Table1[[#This Row],[Phase in RDP 2023]]=Table1[[#This Row],[Phase in RDP 2024]]),"Yes", "No")</f>
        <v>Yes</v>
      </c>
      <c r="T51" s="240" t="s">
        <v>198</v>
      </c>
      <c r="U51" s="41"/>
      <c r="V51" s="41">
        <f t="shared" si="1"/>
        <v>0</v>
      </c>
      <c r="W51" s="91" t="s">
        <v>136</v>
      </c>
    </row>
    <row r="52" spans="1:23" s="77" customFormat="1" ht="14.45" customHeight="1" x14ac:dyDescent="0.2">
      <c r="A52" s="15" t="s">
        <v>7</v>
      </c>
      <c r="B52" s="110" t="s">
        <v>188</v>
      </c>
      <c r="C52" s="52">
        <v>768753</v>
      </c>
      <c r="D52" s="14" t="s">
        <v>205</v>
      </c>
      <c r="E52" s="14" t="s">
        <v>190</v>
      </c>
      <c r="F52" s="15" t="s">
        <v>124</v>
      </c>
      <c r="G52" s="35" t="s">
        <v>244</v>
      </c>
      <c r="H52" s="52">
        <v>12</v>
      </c>
      <c r="I52" s="110" t="s">
        <v>345</v>
      </c>
      <c r="J52" s="15" t="s">
        <v>22</v>
      </c>
      <c r="K52" s="15" t="s">
        <v>22</v>
      </c>
      <c r="L52" s="15" t="s">
        <v>308</v>
      </c>
      <c r="M52" s="141" t="s">
        <v>346</v>
      </c>
      <c r="N52" s="15">
        <v>1</v>
      </c>
      <c r="O52" s="139"/>
      <c r="P52" s="15">
        <v>1</v>
      </c>
      <c r="Q52" s="127">
        <v>45600</v>
      </c>
      <c r="R52" s="15">
        <v>2</v>
      </c>
      <c r="S52" s="139" t="str">
        <f>IF(AND(Table1[[#This Row],[Phase in RDP 2022]]=Table1[[#This Row],[Phase in RDP 2023]], Table1[[#This Row],[Phase in RDP 2023]]=Table1[[#This Row],[Phase in RDP 2024]]),"Yes", "No")</f>
        <v>No</v>
      </c>
      <c r="T52" s="127" t="s">
        <v>198</v>
      </c>
      <c r="U52" s="15"/>
      <c r="V52" s="15">
        <f t="shared" si="1"/>
        <v>0</v>
      </c>
      <c r="W52" s="34" t="s">
        <v>136</v>
      </c>
    </row>
    <row r="53" spans="1:23" s="77" customFormat="1" ht="14.45" customHeight="1" x14ac:dyDescent="0.2">
      <c r="A53" s="25" t="s">
        <v>9</v>
      </c>
      <c r="B53" s="17" t="s">
        <v>107</v>
      </c>
      <c r="C53" s="25">
        <v>779103</v>
      </c>
      <c r="D53" s="17" t="s">
        <v>276</v>
      </c>
      <c r="E53" s="26" t="s">
        <v>108</v>
      </c>
      <c r="F53" s="25" t="s">
        <v>124</v>
      </c>
      <c r="G53" s="28">
        <v>41753</v>
      </c>
      <c r="H53" s="25">
        <v>12</v>
      </c>
      <c r="I53" s="2" t="s">
        <v>301</v>
      </c>
      <c r="J53" s="25" t="s">
        <v>23</v>
      </c>
      <c r="K53" s="25" t="s">
        <v>280</v>
      </c>
      <c r="L53" s="25" t="s">
        <v>98</v>
      </c>
      <c r="M53" s="49" t="s">
        <v>286</v>
      </c>
      <c r="N53" s="74">
        <v>1</v>
      </c>
      <c r="O53" s="85">
        <v>45005</v>
      </c>
      <c r="P53" s="25">
        <v>1</v>
      </c>
      <c r="Q53" s="85"/>
      <c r="R53" s="25">
        <v>1</v>
      </c>
      <c r="S53" s="25" t="str">
        <f>IF(AND(Table1[[#This Row],[Phase in RDP 2022]]=Table1[[#This Row],[Phase in RDP 2023]], Table1[[#This Row],[Phase in RDP 2023]]=Table1[[#This Row],[Phase in RDP 2024]]),"Yes", "No")</f>
        <v>Yes</v>
      </c>
      <c r="T53" s="85" t="s">
        <v>198</v>
      </c>
      <c r="U53" s="25"/>
      <c r="V53" s="25">
        <f t="shared" si="1"/>
        <v>0</v>
      </c>
      <c r="W53" s="93" t="s">
        <v>136</v>
      </c>
    </row>
    <row r="54" spans="1:23" s="86" customFormat="1" ht="14.45" customHeight="1" x14ac:dyDescent="0.2">
      <c r="A54" s="25" t="s">
        <v>9</v>
      </c>
      <c r="B54" s="17" t="s">
        <v>288</v>
      </c>
      <c r="C54" s="25">
        <v>775063</v>
      </c>
      <c r="D54" s="17" t="s">
        <v>114</v>
      </c>
      <c r="E54" s="26" t="s">
        <v>86</v>
      </c>
      <c r="F54" s="25" t="s">
        <v>124</v>
      </c>
      <c r="G54" s="94">
        <v>41994</v>
      </c>
      <c r="H54" s="25">
        <v>12</v>
      </c>
      <c r="I54" s="17" t="s">
        <v>302</v>
      </c>
      <c r="J54" s="25" t="s">
        <v>23</v>
      </c>
      <c r="K54" s="25" t="s">
        <v>141</v>
      </c>
      <c r="L54" s="25" t="s">
        <v>99</v>
      </c>
      <c r="M54" s="65" t="s">
        <v>285</v>
      </c>
      <c r="N54" s="74">
        <v>2</v>
      </c>
      <c r="O54" s="28">
        <v>45005</v>
      </c>
      <c r="P54" s="25">
        <v>2</v>
      </c>
      <c r="Q54" s="28"/>
      <c r="R54" s="25">
        <v>2</v>
      </c>
      <c r="S54" s="25" t="str">
        <f>IF(AND(Table1[[#This Row],[Phase in RDP 2022]]=Table1[[#This Row],[Phase in RDP 2023]], Table1[[#This Row],[Phase in RDP 2023]]=Table1[[#This Row],[Phase in RDP 2024]]),"Yes", "No")</f>
        <v>Yes</v>
      </c>
      <c r="T54" s="28" t="s">
        <v>198</v>
      </c>
      <c r="U54" s="25"/>
      <c r="V54" s="25">
        <f t="shared" si="1"/>
        <v>0</v>
      </c>
      <c r="W54" s="93" t="s">
        <v>136</v>
      </c>
    </row>
    <row r="55" spans="1:23" s="77" customFormat="1" ht="14.45" customHeight="1" x14ac:dyDescent="0.2">
      <c r="A55" s="41" t="s">
        <v>10</v>
      </c>
      <c r="B55" s="40" t="s">
        <v>152</v>
      </c>
      <c r="C55" s="41">
        <v>808615</v>
      </c>
      <c r="D55" s="40" t="s">
        <v>287</v>
      </c>
      <c r="E55" s="42" t="s">
        <v>11</v>
      </c>
      <c r="F55" s="41" t="s">
        <v>124</v>
      </c>
      <c r="G55" s="193">
        <v>43435</v>
      </c>
      <c r="H55" s="41">
        <v>12</v>
      </c>
      <c r="I55" s="3" t="s">
        <v>62</v>
      </c>
      <c r="J55" s="41" t="s">
        <v>22</v>
      </c>
      <c r="K55" s="41" t="s">
        <v>387</v>
      </c>
      <c r="L55" s="41" t="s">
        <v>99</v>
      </c>
      <c r="M55" s="217" t="s">
        <v>396</v>
      </c>
      <c r="N55" s="71">
        <v>1</v>
      </c>
      <c r="O55" s="44"/>
      <c r="P55" s="41">
        <v>1</v>
      </c>
      <c r="Q55" s="44"/>
      <c r="R55" s="41">
        <v>1</v>
      </c>
      <c r="S55" s="41" t="str">
        <f>IF(AND(Table1[[#This Row],[Phase in RDP 2022]]=Table1[[#This Row],[Phase in RDP 2023]], Table1[[#This Row],[Phase in RDP 2023]]=Table1[[#This Row],[Phase in RDP 2024]]),"Yes", "No")</f>
        <v>Yes</v>
      </c>
      <c r="T55" s="163" t="s">
        <v>198</v>
      </c>
      <c r="U55" s="41"/>
      <c r="V55" s="41">
        <f t="shared" si="1"/>
        <v>0</v>
      </c>
      <c r="W55" s="91" t="s">
        <v>136</v>
      </c>
    </row>
    <row r="56" spans="1:23" s="77" customFormat="1" ht="14.45" customHeight="1" x14ac:dyDescent="0.2">
      <c r="A56" s="25" t="s">
        <v>9</v>
      </c>
      <c r="B56" s="17" t="s">
        <v>185</v>
      </c>
      <c r="C56" s="25">
        <v>775460</v>
      </c>
      <c r="D56" s="17" t="s">
        <v>213</v>
      </c>
      <c r="E56" s="26" t="s">
        <v>214</v>
      </c>
      <c r="F56" s="25" t="s">
        <v>124</v>
      </c>
      <c r="G56" s="27">
        <v>2019</v>
      </c>
      <c r="H56" s="25">
        <v>11</v>
      </c>
      <c r="I56" s="2" t="s">
        <v>304</v>
      </c>
      <c r="J56" s="25" t="s">
        <v>23</v>
      </c>
      <c r="K56" s="25" t="s">
        <v>141</v>
      </c>
      <c r="L56" s="25" t="s">
        <v>99</v>
      </c>
      <c r="M56" s="49" t="s">
        <v>202</v>
      </c>
      <c r="N56" s="74">
        <v>1</v>
      </c>
      <c r="O56" s="126">
        <v>45131</v>
      </c>
      <c r="P56" s="25">
        <v>1</v>
      </c>
      <c r="Q56" s="126"/>
      <c r="R56" s="25">
        <v>1</v>
      </c>
      <c r="S56" s="25" t="str">
        <f>IF(AND(Table1[[#This Row],[Phase in RDP 2022]]=Table1[[#This Row],[Phase in RDP 2023]], Table1[[#This Row],[Phase in RDP 2023]]=Table1[[#This Row],[Phase in RDP 2024]]),"Yes", "No")</f>
        <v>Yes</v>
      </c>
      <c r="T56" s="28" t="s">
        <v>198</v>
      </c>
      <c r="U56" s="25"/>
      <c r="V56" s="25">
        <f t="shared" si="1"/>
        <v>0</v>
      </c>
      <c r="W56" s="93" t="s">
        <v>136</v>
      </c>
    </row>
    <row r="57" spans="1:23" s="77" customFormat="1" ht="14.45" customHeight="1" x14ac:dyDescent="0.2">
      <c r="A57" s="29" t="s">
        <v>5</v>
      </c>
      <c r="B57" s="20" t="s">
        <v>139</v>
      </c>
      <c r="C57" s="29">
        <v>747682</v>
      </c>
      <c r="D57" s="30" t="s">
        <v>90</v>
      </c>
      <c r="E57" s="30" t="s">
        <v>163</v>
      </c>
      <c r="F57" s="29" t="s">
        <v>124</v>
      </c>
      <c r="G57" s="233" t="s">
        <v>144</v>
      </c>
      <c r="H57" s="29" t="s">
        <v>144</v>
      </c>
      <c r="I57" s="20" t="s">
        <v>333</v>
      </c>
      <c r="J57" s="29" t="s">
        <v>23</v>
      </c>
      <c r="K57" s="29" t="s">
        <v>141</v>
      </c>
      <c r="L57" s="29" t="s">
        <v>99</v>
      </c>
      <c r="M57" s="148" t="s">
        <v>334</v>
      </c>
      <c r="N57" s="73">
        <v>1</v>
      </c>
      <c r="O57" s="51"/>
      <c r="P57" s="51">
        <v>1</v>
      </c>
      <c r="Q57" s="51"/>
      <c r="R57" s="51">
        <v>1</v>
      </c>
      <c r="S57" s="51" t="str">
        <f>IF(AND(Table1[[#This Row],[Phase in RDP 2022]]=Table1[[#This Row],[Phase in RDP 2023]], Table1[[#This Row],[Phase in RDP 2023]]=Table1[[#This Row],[Phase in RDP 2024]]),"Yes", "No")</f>
        <v>Yes</v>
      </c>
      <c r="T57" s="33" t="s">
        <v>198</v>
      </c>
      <c r="U57" s="51"/>
      <c r="V57" s="51">
        <f t="shared" si="1"/>
        <v>0</v>
      </c>
      <c r="W57" s="18" t="s">
        <v>136</v>
      </c>
    </row>
    <row r="58" spans="1:23" s="77" customFormat="1" ht="14.45" customHeight="1" x14ac:dyDescent="0.2">
      <c r="A58" s="24" t="s">
        <v>8</v>
      </c>
      <c r="B58" s="45" t="s">
        <v>122</v>
      </c>
      <c r="C58" s="24">
        <v>747958</v>
      </c>
      <c r="D58" s="45" t="s">
        <v>168</v>
      </c>
      <c r="E58" s="46" t="s">
        <v>230</v>
      </c>
      <c r="F58" s="24" t="s">
        <v>124</v>
      </c>
      <c r="G58" s="47">
        <v>42139</v>
      </c>
      <c r="H58" s="24">
        <v>12</v>
      </c>
      <c r="I58" s="45" t="s">
        <v>176</v>
      </c>
      <c r="J58" s="24" t="s">
        <v>23</v>
      </c>
      <c r="K58" s="24" t="s">
        <v>141</v>
      </c>
      <c r="L58" s="24" t="s">
        <v>99</v>
      </c>
      <c r="M58" s="153" t="s">
        <v>373</v>
      </c>
      <c r="N58" s="78">
        <v>1</v>
      </c>
      <c r="O58" s="82"/>
      <c r="P58" s="24">
        <v>1</v>
      </c>
      <c r="Q58" s="82"/>
      <c r="R58" s="24">
        <v>1</v>
      </c>
      <c r="S58" s="24" t="str">
        <f>IF(AND(Table1[[#This Row],[Phase in RDP 2022]]=Table1[[#This Row],[Phase in RDP 2023]], Table1[[#This Row],[Phase in RDP 2023]]=Table1[[#This Row],[Phase in RDP 2024]]),"Yes", "No")</f>
        <v>Yes</v>
      </c>
      <c r="T58" s="82" t="s">
        <v>198</v>
      </c>
      <c r="U58" s="24"/>
      <c r="V58" s="24">
        <f t="shared" si="1"/>
        <v>0</v>
      </c>
      <c r="W58" s="23" t="s">
        <v>136</v>
      </c>
    </row>
    <row r="59" spans="1:23" s="77" customFormat="1" ht="14.45" customHeight="1" x14ac:dyDescent="0.2">
      <c r="A59" s="36" t="s">
        <v>6</v>
      </c>
      <c r="B59" s="21" t="s">
        <v>105</v>
      </c>
      <c r="C59" s="36">
        <v>747854</v>
      </c>
      <c r="D59" s="37" t="s">
        <v>18</v>
      </c>
      <c r="E59" s="37" t="s">
        <v>106</v>
      </c>
      <c r="F59" s="36" t="s">
        <v>124</v>
      </c>
      <c r="G59" s="39">
        <v>41992</v>
      </c>
      <c r="H59" s="36">
        <v>12</v>
      </c>
      <c r="I59" s="21" t="s">
        <v>62</v>
      </c>
      <c r="J59" s="36" t="s">
        <v>22</v>
      </c>
      <c r="K59" s="36" t="s">
        <v>22</v>
      </c>
      <c r="L59" s="36" t="s">
        <v>99</v>
      </c>
      <c r="M59" s="64" t="s">
        <v>359</v>
      </c>
      <c r="N59" s="80">
        <v>2</v>
      </c>
      <c r="O59" s="133"/>
      <c r="P59" s="36">
        <v>2</v>
      </c>
      <c r="Q59" s="133"/>
      <c r="R59" s="36">
        <v>2</v>
      </c>
      <c r="S59" s="36" t="str">
        <f>IF(AND(Table1[[#This Row],[Phase in RDP 2022]]=Table1[[#This Row],[Phase in RDP 2023]], Table1[[#This Row],[Phase in RDP 2023]]=Table1[[#This Row],[Phase in RDP 2024]]),"Yes", "No")</f>
        <v>Yes</v>
      </c>
      <c r="T59" s="133" t="s">
        <v>198</v>
      </c>
      <c r="U59" s="36"/>
      <c r="V59" s="36">
        <f t="shared" si="1"/>
        <v>0</v>
      </c>
      <c r="W59" s="81" t="s">
        <v>136</v>
      </c>
    </row>
    <row r="60" spans="1:23" s="96" customFormat="1" ht="14.45" customHeight="1" x14ac:dyDescent="0.2">
      <c r="A60" s="24" t="s">
        <v>8</v>
      </c>
      <c r="B60" s="45" t="s">
        <v>153</v>
      </c>
      <c r="C60" s="24">
        <v>784808</v>
      </c>
      <c r="D60" s="46" t="s">
        <v>269</v>
      </c>
      <c r="E60" s="46" t="s">
        <v>233</v>
      </c>
      <c r="F60" s="24" t="s">
        <v>124</v>
      </c>
      <c r="G60" s="47"/>
      <c r="H60" s="24">
        <v>12</v>
      </c>
      <c r="I60" s="45" t="s">
        <v>62</v>
      </c>
      <c r="J60" s="24" t="s">
        <v>22</v>
      </c>
      <c r="K60" s="24" t="s">
        <v>293</v>
      </c>
      <c r="L60" s="24" t="s">
        <v>99</v>
      </c>
      <c r="M60" s="58"/>
      <c r="N60" s="78">
        <v>1</v>
      </c>
      <c r="O60" s="140">
        <v>45117</v>
      </c>
      <c r="P60" s="24">
        <v>2</v>
      </c>
      <c r="Q60" s="140"/>
      <c r="R60" s="24">
        <v>2</v>
      </c>
      <c r="S60" s="24" t="str">
        <f>IF(AND(Table1[[#This Row],[Phase in RDP 2022]]=Table1[[#This Row],[Phase in RDP 2023]], Table1[[#This Row],[Phase in RDP 2023]]=Table1[[#This Row],[Phase in RDP 2024]]),"Yes", "No")</f>
        <v>No</v>
      </c>
      <c r="T60" s="59" t="s">
        <v>198</v>
      </c>
      <c r="U60" s="24"/>
      <c r="V60" s="24">
        <f t="shared" si="1"/>
        <v>0</v>
      </c>
      <c r="W60" s="23"/>
    </row>
    <row r="61" spans="1:23" s="96" customFormat="1" ht="14.45" customHeight="1" x14ac:dyDescent="0.2">
      <c r="A61" s="36" t="s">
        <v>6</v>
      </c>
      <c r="B61" s="21" t="s">
        <v>178</v>
      </c>
      <c r="C61" s="36">
        <v>775186</v>
      </c>
      <c r="D61" s="21" t="s">
        <v>217</v>
      </c>
      <c r="E61" s="37" t="s">
        <v>249</v>
      </c>
      <c r="F61" s="36" t="s">
        <v>124</v>
      </c>
      <c r="G61" s="38" t="s">
        <v>248</v>
      </c>
      <c r="H61" s="36">
        <v>11</v>
      </c>
      <c r="I61" s="114" t="s">
        <v>264</v>
      </c>
      <c r="J61" s="36" t="s">
        <v>23</v>
      </c>
      <c r="K61" s="36" t="s">
        <v>280</v>
      </c>
      <c r="L61" s="36" t="s">
        <v>98</v>
      </c>
      <c r="M61" s="54" t="s">
        <v>250</v>
      </c>
      <c r="N61" s="80">
        <v>1</v>
      </c>
      <c r="O61" s="39"/>
      <c r="P61" s="36">
        <v>1</v>
      </c>
      <c r="Q61" s="39">
        <v>45313</v>
      </c>
      <c r="R61" s="36">
        <v>2</v>
      </c>
      <c r="S61" s="36" t="str">
        <f>IF(AND(Table1[[#This Row],[Phase in RDP 2022]]=Table1[[#This Row],[Phase in RDP 2023]], Table1[[#This Row],[Phase in RDP 2023]]=Table1[[#This Row],[Phase in RDP 2024]]),"Yes", "No")</f>
        <v>No</v>
      </c>
      <c r="T61" s="198" t="s">
        <v>198</v>
      </c>
      <c r="U61" s="36"/>
      <c r="V61" s="36">
        <f t="shared" si="1"/>
        <v>0</v>
      </c>
      <c r="W61" s="87" t="s">
        <v>136</v>
      </c>
    </row>
    <row r="62" spans="1:23" s="96" customFormat="1" ht="14.45" customHeight="1" x14ac:dyDescent="0.2">
      <c r="A62" s="24" t="s">
        <v>8</v>
      </c>
      <c r="B62" s="45" t="s">
        <v>47</v>
      </c>
      <c r="C62" s="24">
        <v>293907</v>
      </c>
      <c r="D62" s="45" t="s">
        <v>38</v>
      </c>
      <c r="E62" s="46" t="s">
        <v>236</v>
      </c>
      <c r="F62" s="24" t="s">
        <v>125</v>
      </c>
      <c r="G62" s="47" t="s">
        <v>67</v>
      </c>
      <c r="H62" s="24">
        <v>12</v>
      </c>
      <c r="I62" s="45" t="s">
        <v>121</v>
      </c>
      <c r="J62" s="24" t="s">
        <v>22</v>
      </c>
      <c r="K62" s="24" t="s">
        <v>296</v>
      </c>
      <c r="L62" s="24" t="s">
        <v>99</v>
      </c>
      <c r="M62" s="58" t="s">
        <v>37</v>
      </c>
      <c r="N62" s="78">
        <v>3</v>
      </c>
      <c r="O62" s="82"/>
      <c r="P62" s="24">
        <v>3</v>
      </c>
      <c r="Q62" s="82"/>
      <c r="R62" s="24">
        <v>3</v>
      </c>
      <c r="S62" s="24" t="str">
        <f>IF(AND(Table1[[#This Row],[Phase in RDP 2022]]=Table1[[#This Row],[Phase in RDP 2023]], Table1[[#This Row],[Phase in RDP 2023]]=Table1[[#This Row],[Phase in RDP 2024]]),"Yes", "No")</f>
        <v>Yes</v>
      </c>
      <c r="T62" s="82" t="s">
        <v>198</v>
      </c>
      <c r="U62" s="24"/>
      <c r="V62" s="24">
        <f t="shared" si="1"/>
        <v>0</v>
      </c>
      <c r="W62" s="23" t="s">
        <v>136</v>
      </c>
    </row>
    <row r="63" spans="1:23" s="96" customFormat="1" ht="14.45" customHeight="1" x14ac:dyDescent="0.2">
      <c r="A63" s="36" t="s">
        <v>6</v>
      </c>
      <c r="B63" s="21" t="s">
        <v>17</v>
      </c>
      <c r="C63" s="36">
        <v>294592</v>
      </c>
      <c r="D63" s="21" t="s">
        <v>18</v>
      </c>
      <c r="E63" s="37" t="s">
        <v>52</v>
      </c>
      <c r="F63" s="36" t="s">
        <v>125</v>
      </c>
      <c r="G63" s="38">
        <v>2012</v>
      </c>
      <c r="H63" s="36">
        <v>13</v>
      </c>
      <c r="I63" s="21" t="s">
        <v>62</v>
      </c>
      <c r="J63" s="36" t="s">
        <v>22</v>
      </c>
      <c r="K63" s="36" t="s">
        <v>22</v>
      </c>
      <c r="L63" s="36" t="s">
        <v>99</v>
      </c>
      <c r="M63" s="152" t="s">
        <v>360</v>
      </c>
      <c r="N63" s="80">
        <v>2</v>
      </c>
      <c r="O63" s="137"/>
      <c r="P63" s="36">
        <v>2</v>
      </c>
      <c r="Q63" s="137"/>
      <c r="R63" s="36">
        <v>2</v>
      </c>
      <c r="S63" s="239" t="str">
        <f>IF(AND(Table1[[#This Row],[Phase in RDP 2022]]=Table1[[#This Row],[Phase in RDP 2023]], Table1[[#This Row],[Phase in RDP 2023]]=Table1[[#This Row],[Phase in RDP 2024]]),"Yes", "No")</f>
        <v>Yes</v>
      </c>
      <c r="T63" s="133" t="s">
        <v>198</v>
      </c>
      <c r="U63" s="36"/>
      <c r="V63" s="36">
        <f t="shared" si="1"/>
        <v>0</v>
      </c>
      <c r="W63" s="87" t="s">
        <v>136</v>
      </c>
    </row>
    <row r="64" spans="1:23" s="96" customFormat="1" ht="14.45" customHeight="1" x14ac:dyDescent="0.2">
      <c r="A64" s="29" t="s">
        <v>5</v>
      </c>
      <c r="B64" s="20" t="s">
        <v>131</v>
      </c>
      <c r="C64" s="29">
        <v>763593</v>
      </c>
      <c r="D64" s="30" t="s">
        <v>90</v>
      </c>
      <c r="E64" s="30" t="s">
        <v>156</v>
      </c>
      <c r="F64" s="29" t="s">
        <v>124</v>
      </c>
      <c r="G64" s="31">
        <v>42589</v>
      </c>
      <c r="H64" s="29">
        <v>12</v>
      </c>
      <c r="I64" s="20" t="s">
        <v>331</v>
      </c>
      <c r="J64" s="29" t="s">
        <v>23</v>
      </c>
      <c r="K64" s="29" t="s">
        <v>141</v>
      </c>
      <c r="L64" s="29" t="s">
        <v>99</v>
      </c>
      <c r="M64" s="148" t="s">
        <v>332</v>
      </c>
      <c r="N64" s="73">
        <v>2</v>
      </c>
      <c r="O64" s="83"/>
      <c r="P64" s="51">
        <v>2</v>
      </c>
      <c r="Q64" s="83"/>
      <c r="R64" s="51">
        <v>2</v>
      </c>
      <c r="S64" s="51" t="str">
        <f>IF(AND(Table1[[#This Row],[Phase in RDP 2022]]=Table1[[#This Row],[Phase in RDP 2023]], Table1[[#This Row],[Phase in RDP 2023]]=Table1[[#This Row],[Phase in RDP 2024]]),"Yes", "No")</f>
        <v>Yes</v>
      </c>
      <c r="T64" s="33" t="s">
        <v>198</v>
      </c>
      <c r="U64" s="51"/>
      <c r="V64" s="51">
        <f t="shared" si="1"/>
        <v>0</v>
      </c>
      <c r="W64" s="18" t="s">
        <v>136</v>
      </c>
    </row>
    <row r="65" spans="1:23" s="96" customFormat="1" ht="14.45" customHeight="1" x14ac:dyDescent="0.2">
      <c r="A65" s="29" t="s">
        <v>5</v>
      </c>
      <c r="B65" s="20" t="s">
        <v>128</v>
      </c>
      <c r="C65" s="29">
        <v>752578</v>
      </c>
      <c r="D65" s="30" t="s">
        <v>162</v>
      </c>
      <c r="E65" s="30" t="s">
        <v>161</v>
      </c>
      <c r="F65" s="29" t="s">
        <v>124</v>
      </c>
      <c r="G65" s="31" t="s">
        <v>144</v>
      </c>
      <c r="H65" s="29" t="s">
        <v>144</v>
      </c>
      <c r="I65" s="20" t="s">
        <v>62</v>
      </c>
      <c r="J65" s="29" t="s">
        <v>22</v>
      </c>
      <c r="K65" s="29" t="s">
        <v>22</v>
      </c>
      <c r="L65" s="29" t="s">
        <v>99</v>
      </c>
      <c r="M65" s="148" t="s">
        <v>336</v>
      </c>
      <c r="N65" s="73">
        <v>1</v>
      </c>
      <c r="O65" s="144"/>
      <c r="P65" s="51">
        <v>1</v>
      </c>
      <c r="Q65" s="144"/>
      <c r="R65" s="51">
        <v>1</v>
      </c>
      <c r="S65" s="144" t="str">
        <f>IF(AND(Table1[[#This Row],[Phase in RDP 2022]]=Table1[[#This Row],[Phase in RDP 2023]], Table1[[#This Row],[Phase in RDP 2023]]=Table1[[#This Row],[Phase in RDP 2024]]),"Yes", "No")</f>
        <v>Yes</v>
      </c>
      <c r="T65" s="33" t="s">
        <v>198</v>
      </c>
      <c r="U65" s="51"/>
      <c r="V65" s="51">
        <f t="shared" si="1"/>
        <v>0</v>
      </c>
      <c r="W65" s="18" t="s">
        <v>136</v>
      </c>
    </row>
    <row r="66" spans="1:23" s="96" customFormat="1" ht="14.45" customHeight="1" x14ac:dyDescent="0.2">
      <c r="A66" s="15" t="s">
        <v>7</v>
      </c>
      <c r="B66" s="34" t="s">
        <v>166</v>
      </c>
      <c r="C66" s="15">
        <v>768802</v>
      </c>
      <c r="D66" s="34" t="s">
        <v>289</v>
      </c>
      <c r="E66" s="14" t="s">
        <v>262</v>
      </c>
      <c r="F66" s="15" t="s">
        <v>124</v>
      </c>
      <c r="G66" s="15">
        <v>2017</v>
      </c>
      <c r="H66" s="15">
        <v>12</v>
      </c>
      <c r="I66" s="34" t="s">
        <v>263</v>
      </c>
      <c r="J66" s="15" t="s">
        <v>22</v>
      </c>
      <c r="K66" s="15" t="s">
        <v>22</v>
      </c>
      <c r="L66" s="15" t="s">
        <v>98</v>
      </c>
      <c r="M66" s="150" t="s">
        <v>355</v>
      </c>
      <c r="N66" s="15">
        <v>1</v>
      </c>
      <c r="O66" s="139"/>
      <c r="P66" s="15">
        <v>1</v>
      </c>
      <c r="Q66" s="127"/>
      <c r="R66" s="15">
        <v>1</v>
      </c>
      <c r="S66" s="139" t="str">
        <f>IF(AND(Table1[[#This Row],[Phase in RDP 2022]]=Table1[[#This Row],[Phase in RDP 2023]], Table1[[#This Row],[Phase in RDP 2023]]=Table1[[#This Row],[Phase in RDP 2024]]),"Yes", "No")</f>
        <v>Yes</v>
      </c>
      <c r="T66" s="60" t="s">
        <v>198</v>
      </c>
      <c r="U66" s="15"/>
      <c r="V66" s="15">
        <f t="shared" ref="V66:V92" si="2">_xlfn.IFS((U66="New"),0,(U66="Grad"),1,(U66-R66=1),1,(U66-R66=0),0,(U66=""),0,(U66="Drop"),0)</f>
        <v>0</v>
      </c>
      <c r="W66" s="34" t="s">
        <v>136</v>
      </c>
    </row>
    <row r="67" spans="1:23" s="97" customFormat="1" ht="14.45" customHeight="1" x14ac:dyDescent="0.2">
      <c r="A67" s="29" t="s">
        <v>5</v>
      </c>
      <c r="B67" s="20" t="s">
        <v>89</v>
      </c>
      <c r="C67" s="29">
        <v>747792</v>
      </c>
      <c r="D67" s="20" t="s">
        <v>117</v>
      </c>
      <c r="E67" s="30" t="s">
        <v>74</v>
      </c>
      <c r="F67" s="29" t="s">
        <v>124</v>
      </c>
      <c r="G67" s="29" t="s">
        <v>144</v>
      </c>
      <c r="H67" s="29">
        <v>12</v>
      </c>
      <c r="I67" s="20" t="s">
        <v>327</v>
      </c>
      <c r="J67" s="29" t="s">
        <v>22</v>
      </c>
      <c r="K67" s="29" t="s">
        <v>22</v>
      </c>
      <c r="L67" s="29" t="s">
        <v>99</v>
      </c>
      <c r="M67" s="148" t="s">
        <v>328</v>
      </c>
      <c r="N67" s="73">
        <v>2</v>
      </c>
      <c r="O67" s="194"/>
      <c r="P67" s="29">
        <v>2</v>
      </c>
      <c r="Q67" s="194"/>
      <c r="R67" s="29">
        <v>2</v>
      </c>
      <c r="S67" s="196" t="str">
        <f>IF(AND(Table1[[#This Row],[Phase in RDP 2022]]=Table1[[#This Row],[Phase in RDP 2023]], Table1[[#This Row],[Phase in RDP 2023]]=Table1[[#This Row],[Phase in RDP 2024]]),"Yes", "No")</f>
        <v>Yes</v>
      </c>
      <c r="T67" s="33" t="s">
        <v>198</v>
      </c>
      <c r="U67" s="29"/>
      <c r="V67" s="29">
        <f t="shared" si="2"/>
        <v>0</v>
      </c>
      <c r="W67" s="18" t="s">
        <v>136</v>
      </c>
    </row>
    <row r="68" spans="1:23" s="77" customFormat="1" ht="14.45" customHeight="1" x14ac:dyDescent="0.2">
      <c r="A68" s="24" t="s">
        <v>8</v>
      </c>
      <c r="B68" s="45" t="s">
        <v>129</v>
      </c>
      <c r="C68" s="24">
        <v>752374</v>
      </c>
      <c r="D68" s="45" t="s">
        <v>13</v>
      </c>
      <c r="E68" s="46" t="s">
        <v>235</v>
      </c>
      <c r="F68" s="24" t="s">
        <v>124</v>
      </c>
      <c r="G68" s="47" t="s">
        <v>144</v>
      </c>
      <c r="H68" s="24" t="s">
        <v>144</v>
      </c>
      <c r="I68" s="45" t="s">
        <v>121</v>
      </c>
      <c r="J68" s="24" t="s">
        <v>22</v>
      </c>
      <c r="K68" s="24" t="s">
        <v>293</v>
      </c>
      <c r="L68" s="24" t="s">
        <v>99</v>
      </c>
      <c r="M68" s="57" t="s">
        <v>374</v>
      </c>
      <c r="N68" s="78">
        <v>1</v>
      </c>
      <c r="O68" s="59"/>
      <c r="P68" s="57">
        <v>1</v>
      </c>
      <c r="Q68" s="59"/>
      <c r="R68" s="57">
        <v>1</v>
      </c>
      <c r="S68" s="57" t="str">
        <f>IF(AND(Table1[[#This Row],[Phase in RDP 2022]]=Table1[[#This Row],[Phase in RDP 2023]], Table1[[#This Row],[Phase in RDP 2023]]=Table1[[#This Row],[Phase in RDP 2024]]),"Yes", "No")</f>
        <v>Yes</v>
      </c>
      <c r="T68" s="59" t="s">
        <v>198</v>
      </c>
      <c r="U68" s="57"/>
      <c r="V68" s="57">
        <f t="shared" si="2"/>
        <v>0</v>
      </c>
      <c r="W68" s="88" t="s">
        <v>136</v>
      </c>
    </row>
    <row r="69" spans="1:23" s="77" customFormat="1" ht="14.45" customHeight="1" x14ac:dyDescent="0.2">
      <c r="A69" s="24" t="s">
        <v>8</v>
      </c>
      <c r="B69" s="45" t="s">
        <v>173</v>
      </c>
      <c r="C69" s="24">
        <v>768709</v>
      </c>
      <c r="D69" s="45" t="s">
        <v>168</v>
      </c>
      <c r="E69" s="46" t="s">
        <v>229</v>
      </c>
      <c r="F69" s="24" t="s">
        <v>124</v>
      </c>
      <c r="G69" s="47"/>
      <c r="H69" s="24" t="s">
        <v>144</v>
      </c>
      <c r="I69" s="45" t="s">
        <v>62</v>
      </c>
      <c r="J69" s="24" t="s">
        <v>22</v>
      </c>
      <c r="K69" s="24" t="s">
        <v>293</v>
      </c>
      <c r="L69" s="24" t="s">
        <v>99</v>
      </c>
      <c r="M69" s="153" t="s">
        <v>379</v>
      </c>
      <c r="N69" s="78">
        <v>1</v>
      </c>
      <c r="O69" s="66"/>
      <c r="P69" s="24">
        <v>1</v>
      </c>
      <c r="Q69" s="66"/>
      <c r="R69" s="24">
        <v>1</v>
      </c>
      <c r="S69" s="146" t="str">
        <f>IF(AND(Table1[[#This Row],[Phase in RDP 2022]]=Table1[[#This Row],[Phase in RDP 2023]], Table1[[#This Row],[Phase in RDP 2023]]=Table1[[#This Row],[Phase in RDP 2024]]),"Yes", "No")</f>
        <v>Yes</v>
      </c>
      <c r="T69" s="59" t="s">
        <v>198</v>
      </c>
      <c r="U69" s="24"/>
      <c r="V69" s="24">
        <f t="shared" si="2"/>
        <v>0</v>
      </c>
      <c r="W69" s="23"/>
    </row>
    <row r="70" spans="1:23" s="77" customFormat="1" ht="14.45" customHeight="1" x14ac:dyDescent="0.2">
      <c r="A70" s="24" t="s">
        <v>8</v>
      </c>
      <c r="B70" s="45" t="s">
        <v>140</v>
      </c>
      <c r="C70" s="24">
        <v>758535</v>
      </c>
      <c r="D70" s="45" t="s">
        <v>164</v>
      </c>
      <c r="E70" s="46" t="s">
        <v>222</v>
      </c>
      <c r="F70" s="24" t="s">
        <v>124</v>
      </c>
      <c r="G70" s="47">
        <v>43013</v>
      </c>
      <c r="H70" s="24">
        <v>12</v>
      </c>
      <c r="I70" s="45" t="s">
        <v>62</v>
      </c>
      <c r="J70" s="24" t="s">
        <v>22</v>
      </c>
      <c r="K70" s="24" t="s">
        <v>294</v>
      </c>
      <c r="L70" s="24" t="s">
        <v>223</v>
      </c>
      <c r="M70" s="154" t="s">
        <v>225</v>
      </c>
      <c r="N70" s="78">
        <v>1</v>
      </c>
      <c r="O70" s="66"/>
      <c r="P70" s="24">
        <v>1</v>
      </c>
      <c r="Q70" s="66"/>
      <c r="R70" s="24">
        <v>1</v>
      </c>
      <c r="S70" s="146" t="str">
        <f>IF(AND(Table1[[#This Row],[Phase in RDP 2022]]=Table1[[#This Row],[Phase in RDP 2023]], Table1[[#This Row],[Phase in RDP 2023]]=Table1[[#This Row],[Phase in RDP 2024]]),"Yes", "No")</f>
        <v>Yes</v>
      </c>
      <c r="T70" s="59" t="s">
        <v>198</v>
      </c>
      <c r="U70" s="24"/>
      <c r="V70" s="24">
        <f t="shared" si="2"/>
        <v>0</v>
      </c>
      <c r="W70" s="23"/>
    </row>
    <row r="71" spans="1:23" s="77" customFormat="1" ht="14.45" customHeight="1" x14ac:dyDescent="0.2">
      <c r="A71" s="25" t="s">
        <v>9</v>
      </c>
      <c r="B71" s="17" t="s">
        <v>183</v>
      </c>
      <c r="C71" s="25">
        <v>794799</v>
      </c>
      <c r="D71" s="17" t="s">
        <v>209</v>
      </c>
      <c r="E71" s="17" t="s">
        <v>210</v>
      </c>
      <c r="F71" s="25" t="s">
        <v>125</v>
      </c>
      <c r="G71" s="25">
        <v>2011</v>
      </c>
      <c r="H71" s="25">
        <v>12</v>
      </c>
      <c r="I71" s="17" t="s">
        <v>429</v>
      </c>
      <c r="J71" s="25" t="s">
        <v>22</v>
      </c>
      <c r="K71" s="25" t="s">
        <v>22</v>
      </c>
      <c r="L71" s="25" t="s">
        <v>99</v>
      </c>
      <c r="M71" s="17" t="s">
        <v>237</v>
      </c>
      <c r="N71" s="74">
        <v>1</v>
      </c>
      <c r="O71" s="28"/>
      <c r="P71" s="25">
        <v>1</v>
      </c>
      <c r="Q71" s="28">
        <v>45327</v>
      </c>
      <c r="R71" s="25">
        <v>1</v>
      </c>
      <c r="S71" s="25" t="str">
        <f>IF(AND(Table1[[#This Row],[Phase in RDP 2022]]=Table1[[#This Row],[Phase in RDP 2023]], Table1[[#This Row],[Phase in RDP 2023]]=Table1[[#This Row],[Phase in RDP 2024]]),"Yes", "No")</f>
        <v>Yes</v>
      </c>
      <c r="T71" s="28" t="s">
        <v>198</v>
      </c>
      <c r="U71" s="25"/>
      <c r="V71" s="25">
        <f t="shared" si="2"/>
        <v>0</v>
      </c>
      <c r="W71" s="93" t="s">
        <v>136</v>
      </c>
    </row>
    <row r="72" spans="1:23" s="77" customFormat="1" ht="14.45" customHeight="1" x14ac:dyDescent="0.2">
      <c r="A72" s="230" t="s">
        <v>10</v>
      </c>
      <c r="B72" s="161" t="s">
        <v>109</v>
      </c>
      <c r="C72" s="230">
        <v>762621</v>
      </c>
      <c r="D72" s="161" t="s">
        <v>111</v>
      </c>
      <c r="E72" s="231" t="s">
        <v>110</v>
      </c>
      <c r="F72" s="230" t="s">
        <v>125</v>
      </c>
      <c r="G72" s="232">
        <v>40603</v>
      </c>
      <c r="H72" s="230">
        <v>12</v>
      </c>
      <c r="I72" s="161" t="s">
        <v>32</v>
      </c>
      <c r="J72" s="230" t="s">
        <v>23</v>
      </c>
      <c r="K72" s="230" t="s">
        <v>141</v>
      </c>
      <c r="L72" s="230" t="s">
        <v>99</v>
      </c>
      <c r="M72" s="230"/>
      <c r="N72" s="71">
        <v>3</v>
      </c>
      <c r="O72" s="44">
        <v>45256</v>
      </c>
      <c r="P72" s="41">
        <v>3</v>
      </c>
      <c r="Q72" s="44"/>
      <c r="R72" s="41">
        <v>3</v>
      </c>
      <c r="S72" s="41" t="str">
        <f>IF(AND(Table1[[#This Row],[Phase in RDP 2022]]=Table1[[#This Row],[Phase in RDP 2023]], Table1[[#This Row],[Phase in RDP 2023]]=Table1[[#This Row],[Phase in RDP 2024]]),"Yes", "No")</f>
        <v>Yes</v>
      </c>
      <c r="T72" s="162" t="s">
        <v>198</v>
      </c>
      <c r="U72" s="41"/>
      <c r="V72" s="41">
        <f t="shared" si="2"/>
        <v>0</v>
      </c>
      <c r="W72" s="91" t="s">
        <v>136</v>
      </c>
    </row>
    <row r="73" spans="1:23" s="77" customFormat="1" ht="14.45" customHeight="1" x14ac:dyDescent="0.2">
      <c r="A73" s="29" t="s">
        <v>5</v>
      </c>
      <c r="B73" s="20" t="s">
        <v>130</v>
      </c>
      <c r="C73" s="29">
        <v>757876</v>
      </c>
      <c r="D73" s="30" t="s">
        <v>68</v>
      </c>
      <c r="E73" s="30" t="s">
        <v>132</v>
      </c>
      <c r="F73" s="29" t="s">
        <v>124</v>
      </c>
      <c r="G73" s="31">
        <v>42886</v>
      </c>
      <c r="H73" s="29">
        <v>12</v>
      </c>
      <c r="I73" s="20" t="s">
        <v>323</v>
      </c>
      <c r="J73" s="29" t="s">
        <v>22</v>
      </c>
      <c r="K73" s="29" t="s">
        <v>22</v>
      </c>
      <c r="L73" s="29" t="s">
        <v>99</v>
      </c>
      <c r="M73" s="148" t="s">
        <v>324</v>
      </c>
      <c r="N73" s="73">
        <v>1</v>
      </c>
      <c r="O73" s="83"/>
      <c r="P73" s="51">
        <v>1</v>
      </c>
      <c r="Q73" s="83"/>
      <c r="R73" s="51">
        <v>1</v>
      </c>
      <c r="S73" s="51" t="str">
        <f>IF(AND(Table1[[#This Row],[Phase in RDP 2022]]=Table1[[#This Row],[Phase in RDP 2023]], Table1[[#This Row],[Phase in RDP 2023]]=Table1[[#This Row],[Phase in RDP 2024]]),"Yes", "No")</f>
        <v>Yes</v>
      </c>
      <c r="T73" s="33" t="s">
        <v>198</v>
      </c>
      <c r="U73" s="51"/>
      <c r="V73" s="51">
        <f t="shared" si="2"/>
        <v>0</v>
      </c>
      <c r="W73" s="18" t="s">
        <v>136</v>
      </c>
    </row>
    <row r="74" spans="1:23" s="77" customFormat="1" ht="14.45" customHeight="1" x14ac:dyDescent="0.2">
      <c r="A74" s="41" t="s">
        <v>10</v>
      </c>
      <c r="B74" s="40" t="s">
        <v>50</v>
      </c>
      <c r="C74" s="41">
        <v>752420</v>
      </c>
      <c r="D74" s="42" t="s">
        <v>36</v>
      </c>
      <c r="E74" s="42" t="s">
        <v>57</v>
      </c>
      <c r="F74" s="41" t="s">
        <v>124</v>
      </c>
      <c r="G74" s="71">
        <v>2016</v>
      </c>
      <c r="H74" s="41">
        <v>12</v>
      </c>
      <c r="I74" s="40" t="s">
        <v>390</v>
      </c>
      <c r="J74" s="41" t="s">
        <v>22</v>
      </c>
      <c r="K74" s="41" t="s">
        <v>387</v>
      </c>
      <c r="L74" s="41" t="s">
        <v>100</v>
      </c>
      <c r="M74" s="55" t="s">
        <v>391</v>
      </c>
      <c r="N74" s="71">
        <v>1</v>
      </c>
      <c r="O74" s="44"/>
      <c r="P74" s="41">
        <v>1</v>
      </c>
      <c r="Q74" s="44"/>
      <c r="R74" s="41">
        <v>1</v>
      </c>
      <c r="S74" s="41" t="str">
        <f>IF(AND(Table1[[#This Row],[Phase in RDP 2022]]=Table1[[#This Row],[Phase in RDP 2023]], Table1[[#This Row],[Phase in RDP 2023]]=Table1[[#This Row],[Phase in RDP 2024]]),"Yes", "No")</f>
        <v>Yes</v>
      </c>
      <c r="T74" s="162" t="s">
        <v>198</v>
      </c>
      <c r="U74" s="41"/>
      <c r="V74" s="41">
        <f t="shared" si="2"/>
        <v>0</v>
      </c>
      <c r="W74" s="91" t="s">
        <v>136</v>
      </c>
    </row>
    <row r="75" spans="1:23" s="77" customFormat="1" ht="14.45" customHeight="1" x14ac:dyDescent="0.2">
      <c r="A75" s="41" t="s">
        <v>10</v>
      </c>
      <c r="B75" s="40" t="s">
        <v>149</v>
      </c>
      <c r="C75" s="41">
        <v>752420</v>
      </c>
      <c r="D75" s="131"/>
      <c r="E75" s="42" t="s">
        <v>159</v>
      </c>
      <c r="F75" s="41" t="s">
        <v>124</v>
      </c>
      <c r="G75" s="43" t="s">
        <v>144</v>
      </c>
      <c r="H75" s="41" t="s">
        <v>144</v>
      </c>
      <c r="I75" s="3" t="s">
        <v>62</v>
      </c>
      <c r="J75" s="41" t="s">
        <v>22</v>
      </c>
      <c r="K75" s="41" t="s">
        <v>387</v>
      </c>
      <c r="L75" s="41" t="s">
        <v>99</v>
      </c>
      <c r="M75" s="55"/>
      <c r="N75" s="71">
        <v>1</v>
      </c>
      <c r="O75" s="44"/>
      <c r="P75" s="41">
        <v>1</v>
      </c>
      <c r="Q75" s="44"/>
      <c r="R75" s="41">
        <v>1</v>
      </c>
      <c r="S75" s="41" t="str">
        <f>IF(AND(Table1[[#This Row],[Phase in RDP 2022]]=Table1[[#This Row],[Phase in RDP 2023]], Table1[[#This Row],[Phase in RDP 2023]]=Table1[[#This Row],[Phase in RDP 2024]]),"Yes", "No")</f>
        <v>Yes</v>
      </c>
      <c r="T75" s="162" t="s">
        <v>198</v>
      </c>
      <c r="U75" s="41"/>
      <c r="V75" s="41">
        <f t="shared" si="2"/>
        <v>0</v>
      </c>
      <c r="W75" s="91" t="s">
        <v>136</v>
      </c>
    </row>
    <row r="76" spans="1:23" s="77" customFormat="1" ht="14.45" customHeight="1" x14ac:dyDescent="0.2">
      <c r="A76" s="15" t="s">
        <v>7</v>
      </c>
      <c r="B76" s="34" t="s">
        <v>87</v>
      </c>
      <c r="C76" s="15">
        <v>743549</v>
      </c>
      <c r="D76" s="34" t="s">
        <v>291</v>
      </c>
      <c r="E76" s="14" t="s">
        <v>91</v>
      </c>
      <c r="F76" s="15" t="s">
        <v>124</v>
      </c>
      <c r="G76" s="15" t="s">
        <v>144</v>
      </c>
      <c r="H76" s="15">
        <v>11</v>
      </c>
      <c r="I76" s="34" t="s">
        <v>356</v>
      </c>
      <c r="J76" s="15" t="s">
        <v>23</v>
      </c>
      <c r="K76" s="15" t="s">
        <v>369</v>
      </c>
      <c r="L76" s="15" t="s">
        <v>100</v>
      </c>
      <c r="M76" s="53" t="s">
        <v>95</v>
      </c>
      <c r="N76" s="73">
        <v>1</v>
      </c>
      <c r="O76" s="60"/>
      <c r="P76" s="52">
        <v>2</v>
      </c>
      <c r="Q76" s="60">
        <v>45572</v>
      </c>
      <c r="R76" s="52">
        <v>3</v>
      </c>
      <c r="S76" s="52" t="str">
        <f>IF(AND(Table1[[#This Row],[Phase in RDP 2022]]=Table1[[#This Row],[Phase in RDP 2023]], Table1[[#This Row],[Phase in RDP 2023]]=Table1[[#This Row],[Phase in RDP 2024]]),"Yes", "No")</f>
        <v>No</v>
      </c>
      <c r="T76" s="60" t="s">
        <v>198</v>
      </c>
      <c r="U76" s="52"/>
      <c r="V76" s="52">
        <f t="shared" si="2"/>
        <v>0</v>
      </c>
      <c r="W76" s="89" t="s">
        <v>136</v>
      </c>
    </row>
    <row r="77" spans="1:23" s="77" customFormat="1" ht="14.45" customHeight="1" x14ac:dyDescent="0.2">
      <c r="A77" s="36" t="s">
        <v>6</v>
      </c>
      <c r="B77" s="21" t="s">
        <v>180</v>
      </c>
      <c r="C77" s="36">
        <v>775325</v>
      </c>
      <c r="D77" s="21" t="s">
        <v>218</v>
      </c>
      <c r="E77" s="37" t="s">
        <v>219</v>
      </c>
      <c r="F77" s="36" t="s">
        <v>125</v>
      </c>
      <c r="G77" s="38"/>
      <c r="H77" s="36">
        <v>12</v>
      </c>
      <c r="I77" s="114" t="s">
        <v>366</v>
      </c>
      <c r="J77" s="36" t="s">
        <v>22</v>
      </c>
      <c r="K77" s="36" t="s">
        <v>22</v>
      </c>
      <c r="L77" s="36" t="s">
        <v>98</v>
      </c>
      <c r="M77" s="54"/>
      <c r="N77" s="80">
        <v>1</v>
      </c>
      <c r="O77" s="39"/>
      <c r="P77" s="36">
        <v>1</v>
      </c>
      <c r="Q77" s="39">
        <v>45313</v>
      </c>
      <c r="R77" s="36">
        <v>1</v>
      </c>
      <c r="S77" s="36" t="str">
        <f>IF(AND(Table1[[#This Row],[Phase in RDP 2022]]=Table1[[#This Row],[Phase in RDP 2023]], Table1[[#This Row],[Phase in RDP 2023]]=Table1[[#This Row],[Phase in RDP 2024]]),"Yes", "No")</f>
        <v>Yes</v>
      </c>
      <c r="T77" s="39" t="s">
        <v>198</v>
      </c>
      <c r="U77" s="36"/>
      <c r="V77" s="36">
        <f t="shared" si="2"/>
        <v>0</v>
      </c>
      <c r="W77" s="87" t="s">
        <v>136</v>
      </c>
    </row>
    <row r="78" spans="1:23" s="77" customFormat="1" ht="14.45" customHeight="1" x14ac:dyDescent="0.2">
      <c r="A78" s="25" t="s">
        <v>9</v>
      </c>
      <c r="B78" s="17" t="s">
        <v>14</v>
      </c>
      <c r="C78" s="25">
        <v>299138</v>
      </c>
      <c r="D78" s="17" t="s">
        <v>276</v>
      </c>
      <c r="E78" s="17" t="s">
        <v>83</v>
      </c>
      <c r="F78" s="25" t="s">
        <v>124</v>
      </c>
      <c r="G78" s="28">
        <v>41505</v>
      </c>
      <c r="H78" s="25">
        <v>12</v>
      </c>
      <c r="I78" s="16" t="s">
        <v>303</v>
      </c>
      <c r="J78" s="25" t="s">
        <v>23</v>
      </c>
      <c r="K78" s="25" t="s">
        <v>280</v>
      </c>
      <c r="L78" s="25" t="s">
        <v>98</v>
      </c>
      <c r="M78" s="49" t="s">
        <v>29</v>
      </c>
      <c r="N78" s="25">
        <v>3</v>
      </c>
      <c r="O78" s="223">
        <v>45131</v>
      </c>
      <c r="P78" s="25">
        <v>3</v>
      </c>
      <c r="Q78" s="223"/>
      <c r="R78" s="25">
        <v>3</v>
      </c>
      <c r="S78" s="25" t="str">
        <f>IF(AND(Table1[[#This Row],[Phase in RDP 2022]]=Table1[[#This Row],[Phase in RDP 2023]], Table1[[#This Row],[Phase in RDP 2023]]=Table1[[#This Row],[Phase in RDP 2024]]),"Yes", "No")</f>
        <v>Yes</v>
      </c>
      <c r="T78" s="85" t="s">
        <v>198</v>
      </c>
      <c r="U78" s="25"/>
      <c r="V78" s="25">
        <f t="shared" si="2"/>
        <v>0</v>
      </c>
      <c r="W78" s="93" t="s">
        <v>136</v>
      </c>
    </row>
    <row r="79" spans="1:23" s="86" customFormat="1" ht="14.45" customHeight="1" x14ac:dyDescent="0.2">
      <c r="A79" s="25" t="s">
        <v>9</v>
      </c>
      <c r="B79" s="17" t="s">
        <v>169</v>
      </c>
      <c r="C79" s="25">
        <v>788090</v>
      </c>
      <c r="D79" s="17" t="s">
        <v>199</v>
      </c>
      <c r="E79" s="26" t="s">
        <v>134</v>
      </c>
      <c r="F79" s="25" t="s">
        <v>125</v>
      </c>
      <c r="G79" s="27">
        <v>42334</v>
      </c>
      <c r="H79" s="25">
        <v>12</v>
      </c>
      <c r="I79" s="17" t="s">
        <v>307</v>
      </c>
      <c r="J79" s="25" t="s">
        <v>23</v>
      </c>
      <c r="K79" s="25" t="s">
        <v>280</v>
      </c>
      <c r="L79" s="25" t="s">
        <v>98</v>
      </c>
      <c r="M79" s="50" t="s">
        <v>284</v>
      </c>
      <c r="N79" s="74">
        <v>1</v>
      </c>
      <c r="O79" s="236" t="s">
        <v>204</v>
      </c>
      <c r="P79" s="25">
        <v>1</v>
      </c>
      <c r="Q79" s="236"/>
      <c r="R79" s="25">
        <v>1</v>
      </c>
      <c r="S79" s="238" t="str">
        <f>IF(AND(Table1[[#This Row],[Phase in RDP 2022]]=Table1[[#This Row],[Phase in RDP 2023]], Table1[[#This Row],[Phase in RDP 2023]]=Table1[[#This Row],[Phase in RDP 2024]]),"Yes", "No")</f>
        <v>Yes</v>
      </c>
      <c r="T79" s="236" t="s">
        <v>198</v>
      </c>
      <c r="U79" s="25"/>
      <c r="V79" s="25">
        <f t="shared" si="2"/>
        <v>0</v>
      </c>
      <c r="W79" s="93" t="s">
        <v>136</v>
      </c>
    </row>
    <row r="80" spans="1:23" s="77" customFormat="1" ht="14.45" customHeight="1" x14ac:dyDescent="0.2">
      <c r="A80" s="24" t="s">
        <v>8</v>
      </c>
      <c r="B80" s="46" t="s">
        <v>167</v>
      </c>
      <c r="C80" s="24">
        <v>756950</v>
      </c>
      <c r="D80" s="45" t="s">
        <v>164</v>
      </c>
      <c r="E80" s="46"/>
      <c r="F80" s="24" t="s">
        <v>124</v>
      </c>
      <c r="G80" s="47"/>
      <c r="H80" s="57"/>
      <c r="I80" s="210" t="s">
        <v>62</v>
      </c>
      <c r="J80" s="24" t="s">
        <v>22</v>
      </c>
      <c r="K80" s="24" t="s">
        <v>293</v>
      </c>
      <c r="L80" s="24" t="s">
        <v>99</v>
      </c>
      <c r="M80" s="57" t="s">
        <v>144</v>
      </c>
      <c r="N80" s="221">
        <v>1</v>
      </c>
      <c r="O80" s="59"/>
      <c r="P80" s="24">
        <v>1</v>
      </c>
      <c r="Q80" s="59"/>
      <c r="R80" s="24">
        <v>1</v>
      </c>
      <c r="S80" s="24" t="str">
        <f>IF(AND(Table1[[#This Row],[Phase in RDP 2022]]=Table1[[#This Row],[Phase in RDP 2023]], Table1[[#This Row],[Phase in RDP 2023]]=Table1[[#This Row],[Phase in RDP 2024]]),"Yes", "No")</f>
        <v>Yes</v>
      </c>
      <c r="T80" s="111" t="s">
        <v>198</v>
      </c>
      <c r="U80" s="24"/>
      <c r="V80" s="24">
        <f t="shared" si="2"/>
        <v>0</v>
      </c>
      <c r="W80" s="23"/>
    </row>
    <row r="81" spans="1:24" s="77" customFormat="1" ht="14.45" customHeight="1" x14ac:dyDescent="0.2">
      <c r="A81" s="29" t="s">
        <v>5</v>
      </c>
      <c r="B81" s="19" t="s">
        <v>41</v>
      </c>
      <c r="C81" s="29">
        <v>762192</v>
      </c>
      <c r="D81" s="61" t="s">
        <v>154</v>
      </c>
      <c r="E81" s="30" t="s">
        <v>72</v>
      </c>
      <c r="F81" s="29" t="s">
        <v>125</v>
      </c>
      <c r="G81" s="31">
        <v>40035</v>
      </c>
      <c r="H81" s="29">
        <v>12</v>
      </c>
      <c r="I81" s="130" t="s">
        <v>322</v>
      </c>
      <c r="J81" s="29" t="s">
        <v>23</v>
      </c>
      <c r="K81" s="29" t="s">
        <v>280</v>
      </c>
      <c r="L81" s="29" t="s">
        <v>100</v>
      </c>
      <c r="M81" s="51" t="s">
        <v>94</v>
      </c>
      <c r="N81" s="73">
        <v>1</v>
      </c>
      <c r="O81" s="33">
        <v>45054</v>
      </c>
      <c r="P81" s="51">
        <v>1</v>
      </c>
      <c r="Q81" s="33"/>
      <c r="R81" s="51">
        <v>1</v>
      </c>
      <c r="S81" s="51" t="str">
        <f>IF(AND(Table1[[#This Row],[Phase in RDP 2022]]=Table1[[#This Row],[Phase in RDP 2023]], Table1[[#This Row],[Phase in RDP 2023]]=Table1[[#This Row],[Phase in RDP 2024]]),"Yes", "No")</f>
        <v>Yes</v>
      </c>
      <c r="T81" s="33" t="s">
        <v>198</v>
      </c>
      <c r="U81" s="51"/>
      <c r="V81" s="51">
        <f t="shared" si="2"/>
        <v>0</v>
      </c>
      <c r="W81" s="18" t="s">
        <v>136</v>
      </c>
    </row>
    <row r="82" spans="1:24" s="77" customFormat="1" ht="14.45" customHeight="1" x14ac:dyDescent="0.2">
      <c r="A82" s="36" t="s">
        <v>6</v>
      </c>
      <c r="B82" s="21" t="s">
        <v>177</v>
      </c>
      <c r="C82" s="36">
        <v>768865</v>
      </c>
      <c r="D82" s="21" t="s">
        <v>215</v>
      </c>
      <c r="E82" s="37" t="s">
        <v>216</v>
      </c>
      <c r="F82" s="36" t="s">
        <v>125</v>
      </c>
      <c r="G82" s="38">
        <v>2019</v>
      </c>
      <c r="H82" s="36">
        <v>12</v>
      </c>
      <c r="I82" s="114" t="s">
        <v>361</v>
      </c>
      <c r="J82" s="36" t="s">
        <v>22</v>
      </c>
      <c r="K82" s="36" t="s">
        <v>22</v>
      </c>
      <c r="L82" s="36" t="s">
        <v>98</v>
      </c>
      <c r="M82" s="54"/>
      <c r="N82" s="80">
        <v>1</v>
      </c>
      <c r="O82" s="39"/>
      <c r="P82" s="36">
        <v>1</v>
      </c>
      <c r="Q82" s="39"/>
      <c r="R82" s="36">
        <v>1</v>
      </c>
      <c r="S82" s="36" t="str">
        <f>IF(AND(Table1[[#This Row],[Phase in RDP 2022]]=Table1[[#This Row],[Phase in RDP 2023]], Table1[[#This Row],[Phase in RDP 2023]]=Table1[[#This Row],[Phase in RDP 2024]]),"Yes", "No")</f>
        <v>Yes</v>
      </c>
      <c r="T82" s="39" t="s">
        <v>198</v>
      </c>
      <c r="U82" s="36"/>
      <c r="V82" s="36">
        <f t="shared" si="2"/>
        <v>0</v>
      </c>
      <c r="W82" s="87" t="s">
        <v>136</v>
      </c>
    </row>
    <row r="83" spans="1:24" s="77" customFormat="1" ht="14.45" customHeight="1" x14ac:dyDescent="0.2">
      <c r="A83" s="15" t="s">
        <v>7</v>
      </c>
      <c r="B83" s="34" t="s">
        <v>419</v>
      </c>
      <c r="C83" s="15">
        <v>782319</v>
      </c>
      <c r="D83" s="34" t="s">
        <v>420</v>
      </c>
      <c r="E83" s="34" t="s">
        <v>82</v>
      </c>
      <c r="F83" s="15" t="s">
        <v>124</v>
      </c>
      <c r="G83" s="60">
        <v>44196</v>
      </c>
      <c r="H83" s="15">
        <v>11</v>
      </c>
      <c r="I83" s="165" t="s">
        <v>414</v>
      </c>
      <c r="J83" s="15" t="s">
        <v>23</v>
      </c>
      <c r="K83" s="15" t="s">
        <v>23</v>
      </c>
      <c r="L83" s="15" t="s">
        <v>98</v>
      </c>
      <c r="M83" s="150" t="s">
        <v>421</v>
      </c>
      <c r="N83" s="34"/>
      <c r="O83" s="34"/>
      <c r="P83" s="34"/>
      <c r="Q83" s="34"/>
      <c r="R83" s="34">
        <v>1</v>
      </c>
      <c r="S83" s="15" t="str">
        <f>IF(AND(Table1[[#This Row],[Phase in RDP 2022]]=Table1[[#This Row],[Phase in RDP 2023]], Table1[[#This Row],[Phase in RDP 2023]]=Table1[[#This Row],[Phase in RDP 2024]]),"Yes", "No")</f>
        <v>No</v>
      </c>
      <c r="T83" s="34"/>
      <c r="U83" s="34"/>
      <c r="V83" s="15">
        <f t="shared" si="2"/>
        <v>0</v>
      </c>
      <c r="W83" s="34" t="s">
        <v>136</v>
      </c>
    </row>
    <row r="84" spans="1:24" s="98" customFormat="1" ht="14.45" customHeight="1" x14ac:dyDescent="0.2">
      <c r="A84" s="15" t="s">
        <v>7</v>
      </c>
      <c r="B84" s="34" t="s">
        <v>425</v>
      </c>
      <c r="C84" s="15">
        <v>786267</v>
      </c>
      <c r="D84" s="34" t="s">
        <v>423</v>
      </c>
      <c r="E84" s="34" t="s">
        <v>424</v>
      </c>
      <c r="F84" s="15" t="s">
        <v>124</v>
      </c>
      <c r="G84" s="60">
        <v>44423</v>
      </c>
      <c r="H84" s="15">
        <v>11</v>
      </c>
      <c r="I84" s="165" t="s">
        <v>414</v>
      </c>
      <c r="J84" s="15" t="s">
        <v>23</v>
      </c>
      <c r="K84" s="15" t="s">
        <v>23</v>
      </c>
      <c r="L84" s="15" t="s">
        <v>98</v>
      </c>
      <c r="M84" s="141" t="s">
        <v>426</v>
      </c>
      <c r="N84" s="34"/>
      <c r="O84" s="181"/>
      <c r="P84" s="34"/>
      <c r="Q84" s="181"/>
      <c r="R84" s="34">
        <v>1</v>
      </c>
      <c r="S84" s="139" t="str">
        <f>IF(AND(Table1[[#This Row],[Phase in RDP 2022]]=Table1[[#This Row],[Phase in RDP 2023]], Table1[[#This Row],[Phase in RDP 2023]]=Table1[[#This Row],[Phase in RDP 2024]]),"Yes", "No")</f>
        <v>No</v>
      </c>
      <c r="T84" s="181"/>
      <c r="U84" s="34"/>
      <c r="V84" s="15">
        <f t="shared" si="2"/>
        <v>0</v>
      </c>
      <c r="W84" s="34" t="s">
        <v>136</v>
      </c>
    </row>
    <row r="85" spans="1:24" s="98" customFormat="1" ht="14.45" customHeight="1" x14ac:dyDescent="0.2">
      <c r="A85" s="15" t="s">
        <v>7</v>
      </c>
      <c r="B85" s="34" t="s">
        <v>411</v>
      </c>
      <c r="C85" s="15">
        <v>783575</v>
      </c>
      <c r="D85" s="34" t="s">
        <v>412</v>
      </c>
      <c r="E85" s="14" t="s">
        <v>413</v>
      </c>
      <c r="F85" s="15" t="s">
        <v>125</v>
      </c>
      <c r="G85" s="15">
        <v>2020</v>
      </c>
      <c r="H85" s="15">
        <v>11</v>
      </c>
      <c r="I85" s="165" t="s">
        <v>414</v>
      </c>
      <c r="J85" s="15" t="s">
        <v>23</v>
      </c>
      <c r="K85" s="15" t="s">
        <v>23</v>
      </c>
      <c r="L85" s="15" t="s">
        <v>98</v>
      </c>
      <c r="M85" s="178" t="s">
        <v>415</v>
      </c>
      <c r="N85" s="34"/>
      <c r="O85" s="181"/>
      <c r="P85" s="34"/>
      <c r="Q85" s="181"/>
      <c r="R85" s="34">
        <v>1</v>
      </c>
      <c r="S85" s="139"/>
      <c r="T85" s="181"/>
      <c r="U85" s="34"/>
      <c r="V85" s="15">
        <f t="shared" si="2"/>
        <v>0</v>
      </c>
      <c r="W85" s="34" t="s">
        <v>136</v>
      </c>
    </row>
    <row r="86" spans="1:24" s="98" customFormat="1" ht="14.45" customHeight="1" x14ac:dyDescent="0.2">
      <c r="A86" s="25" t="s">
        <v>9</v>
      </c>
      <c r="B86" s="17" t="s">
        <v>135</v>
      </c>
      <c r="C86" s="25">
        <v>752554</v>
      </c>
      <c r="D86" s="17" t="s">
        <v>203</v>
      </c>
      <c r="E86" s="26" t="s">
        <v>134</v>
      </c>
      <c r="F86" s="25" t="s">
        <v>124</v>
      </c>
      <c r="G86" s="27">
        <v>42509</v>
      </c>
      <c r="H86" s="25">
        <v>12</v>
      </c>
      <c r="I86" s="25" t="s">
        <v>446</v>
      </c>
      <c r="J86" s="25" t="s">
        <v>22</v>
      </c>
      <c r="K86" s="199" t="s">
        <v>22</v>
      </c>
      <c r="L86" s="25" t="s">
        <v>98</v>
      </c>
      <c r="M86" s="50"/>
      <c r="N86" s="74">
        <v>1</v>
      </c>
      <c r="O86" s="224">
        <v>45117</v>
      </c>
      <c r="P86" s="25">
        <v>1</v>
      </c>
      <c r="Q86" s="179">
        <v>45453</v>
      </c>
      <c r="R86" s="25">
        <v>1</v>
      </c>
      <c r="S86" s="143" t="str">
        <f>IF(AND(Table1[[#This Row],[Phase in RDP 2022]]=Table1[[#This Row],[Phase in RDP 2023]], Table1[[#This Row],[Phase in RDP 2023]]=Table1[[#This Row],[Phase in RDP 2024]]),"Yes", "No")</f>
        <v>Yes</v>
      </c>
      <c r="T86" s="228"/>
      <c r="U86" s="25"/>
      <c r="V86" s="25">
        <f t="shared" si="2"/>
        <v>0</v>
      </c>
      <c r="W86" s="93" t="s">
        <v>136</v>
      </c>
    </row>
    <row r="87" spans="1:24" s="98" customFormat="1" ht="14.45" customHeight="1" thickBot="1" x14ac:dyDescent="0.25">
      <c r="A87" s="15" t="s">
        <v>7</v>
      </c>
      <c r="B87" s="34" t="s">
        <v>26</v>
      </c>
      <c r="C87" s="15">
        <v>299021</v>
      </c>
      <c r="D87" s="34" t="s">
        <v>290</v>
      </c>
      <c r="E87" s="14" t="s">
        <v>75</v>
      </c>
      <c r="F87" s="15" t="s">
        <v>125</v>
      </c>
      <c r="G87" s="35">
        <v>41511</v>
      </c>
      <c r="H87" s="15">
        <v>13</v>
      </c>
      <c r="I87" s="34" t="s">
        <v>340</v>
      </c>
      <c r="J87" s="13" t="s">
        <v>23</v>
      </c>
      <c r="K87" s="13" t="s">
        <v>23</v>
      </c>
      <c r="L87" s="13" t="s">
        <v>99</v>
      </c>
      <c r="M87" s="212" t="s">
        <v>30</v>
      </c>
      <c r="N87" s="72">
        <v>2</v>
      </c>
      <c r="O87" s="127">
        <v>45054</v>
      </c>
      <c r="P87" s="52">
        <v>2</v>
      </c>
      <c r="Q87" s="127">
        <v>45600</v>
      </c>
      <c r="R87" s="52">
        <v>2</v>
      </c>
      <c r="S87" s="125" t="str">
        <f>IF(AND(Table1[[#This Row],[Phase in RDP 2022]]=Table1[[#This Row],[Phase in RDP 2023]], Table1[[#This Row],[Phase in RDP 2023]]=Table1[[#This Row],[Phase in RDP 2024]]),"Yes", "No")</f>
        <v>Yes</v>
      </c>
      <c r="T87" s="127"/>
      <c r="U87" s="52"/>
      <c r="V87" s="52">
        <f t="shared" si="2"/>
        <v>0</v>
      </c>
      <c r="W87" s="89" t="s">
        <v>136</v>
      </c>
    </row>
    <row r="88" spans="1:24" s="98" customFormat="1" ht="14.45" customHeight="1" x14ac:dyDescent="0.2">
      <c r="A88" s="13" t="s">
        <v>7</v>
      </c>
      <c r="B88" s="170" t="s">
        <v>175</v>
      </c>
      <c r="C88" s="13">
        <v>752705</v>
      </c>
      <c r="D88" s="170" t="s">
        <v>205</v>
      </c>
      <c r="E88" s="206" t="s">
        <v>157</v>
      </c>
      <c r="F88" s="13" t="s">
        <v>124</v>
      </c>
      <c r="G88" s="13">
        <v>42919</v>
      </c>
      <c r="H88" s="13">
        <v>12</v>
      </c>
      <c r="I88" s="34"/>
      <c r="J88" s="13" t="s">
        <v>23</v>
      </c>
      <c r="K88" s="13" t="s">
        <v>369</v>
      </c>
      <c r="L88" s="13" t="s">
        <v>98</v>
      </c>
      <c r="M88" s="214" t="s">
        <v>350</v>
      </c>
      <c r="N88" s="13">
        <v>1</v>
      </c>
      <c r="O88" s="218"/>
      <c r="P88" s="15">
        <v>1</v>
      </c>
      <c r="Q88" s="197"/>
      <c r="R88" s="15">
        <v>1</v>
      </c>
      <c r="S88" s="218" t="str">
        <f>IF(AND(Table1[[#This Row],[Phase in RDP 2022]]=Table1[[#This Row],[Phase in RDP 2023]], Table1[[#This Row],[Phase in RDP 2023]]=Table1[[#This Row],[Phase in RDP 2024]]),"Yes", "No")</f>
        <v>Yes</v>
      </c>
      <c r="T88" s="197"/>
      <c r="U88" s="15"/>
      <c r="V88" s="15">
        <f t="shared" si="2"/>
        <v>0</v>
      </c>
      <c r="W88" s="34" t="s">
        <v>136</v>
      </c>
    </row>
    <row r="89" spans="1:24" s="77" customFormat="1" ht="14.45" customHeight="1" x14ac:dyDescent="0.2">
      <c r="A89" s="25" t="s">
        <v>9</v>
      </c>
      <c r="B89" s="205" t="s">
        <v>444</v>
      </c>
      <c r="C89" s="169">
        <v>752545</v>
      </c>
      <c r="D89" s="17" t="s">
        <v>143</v>
      </c>
      <c r="E89" s="207" t="s">
        <v>133</v>
      </c>
      <c r="F89" s="169" t="s">
        <v>124</v>
      </c>
      <c r="G89" s="208">
        <v>42527</v>
      </c>
      <c r="H89" s="169">
        <v>12</v>
      </c>
      <c r="I89" s="205"/>
      <c r="J89" s="169" t="s">
        <v>23</v>
      </c>
      <c r="K89" s="169" t="s">
        <v>23</v>
      </c>
      <c r="L89" s="169" t="s">
        <v>98</v>
      </c>
      <c r="M89" s="216" t="s">
        <v>445</v>
      </c>
      <c r="N89" s="222">
        <v>1</v>
      </c>
      <c r="O89" s="219">
        <v>45096</v>
      </c>
      <c r="P89" s="169">
        <v>1</v>
      </c>
      <c r="Q89" s="219">
        <v>45383</v>
      </c>
      <c r="R89" s="169">
        <v>1</v>
      </c>
      <c r="S89" s="227" t="str">
        <f>IF(AND(Table1[[#This Row],[Phase in RDP 2022]]=Table1[[#This Row],[Phase in RDP 2023]], Table1[[#This Row],[Phase in RDP 2023]]=Table1[[#This Row],[Phase in RDP 2024]]),"Yes", "No")</f>
        <v>Yes</v>
      </c>
      <c r="T89" s="219"/>
      <c r="U89" s="169"/>
      <c r="V89" s="169">
        <f t="shared" si="2"/>
        <v>0</v>
      </c>
      <c r="W89" s="93" t="s">
        <v>136</v>
      </c>
    </row>
    <row r="90" spans="1:24" s="77" customFormat="1" ht="14.45" customHeight="1" x14ac:dyDescent="0.2">
      <c r="A90" s="15" t="s">
        <v>7</v>
      </c>
      <c r="B90" s="34" t="s">
        <v>418</v>
      </c>
      <c r="C90" s="15">
        <v>763633</v>
      </c>
      <c r="D90" s="34" t="s">
        <v>416</v>
      </c>
      <c r="E90" s="34" t="s">
        <v>417</v>
      </c>
      <c r="F90" s="13" t="s">
        <v>125</v>
      </c>
      <c r="G90" s="209">
        <v>43981</v>
      </c>
      <c r="H90" s="13">
        <v>12</v>
      </c>
      <c r="I90" s="211" t="s">
        <v>414</v>
      </c>
      <c r="J90" s="13" t="s">
        <v>23</v>
      </c>
      <c r="K90" s="13" t="s">
        <v>23</v>
      </c>
      <c r="L90" s="13" t="s">
        <v>98</v>
      </c>
      <c r="M90" s="214" t="s">
        <v>422</v>
      </c>
      <c r="N90" s="34"/>
      <c r="O90" s="220"/>
      <c r="P90" s="170"/>
      <c r="Q90" s="220"/>
      <c r="R90" s="170">
        <v>1</v>
      </c>
      <c r="S90" s="218"/>
      <c r="T90" s="220"/>
      <c r="U90" s="170"/>
      <c r="V90" s="13">
        <f t="shared" si="2"/>
        <v>0</v>
      </c>
      <c r="W90" s="170" t="s">
        <v>136</v>
      </c>
    </row>
    <row r="91" spans="1:24" s="77" customFormat="1" ht="14.45" customHeight="1" x14ac:dyDescent="0.2">
      <c r="A91" s="25" t="s">
        <v>9</v>
      </c>
      <c r="B91" s="17" t="s">
        <v>48</v>
      </c>
      <c r="C91" s="25">
        <v>759706</v>
      </c>
      <c r="D91" s="26" t="s">
        <v>197</v>
      </c>
      <c r="E91" s="26" t="s">
        <v>25</v>
      </c>
      <c r="F91" s="169" t="s">
        <v>124</v>
      </c>
      <c r="G91" s="27">
        <v>41640</v>
      </c>
      <c r="H91" s="25">
        <v>12</v>
      </c>
      <c r="I91" s="205" t="s">
        <v>443</v>
      </c>
      <c r="J91" s="25" t="s">
        <v>23</v>
      </c>
      <c r="K91" s="25" t="s">
        <v>369</v>
      </c>
      <c r="L91" s="25" t="s">
        <v>98</v>
      </c>
      <c r="M91" s="168" t="s">
        <v>439</v>
      </c>
      <c r="N91" s="74">
        <v>1</v>
      </c>
      <c r="O91" s="225">
        <v>45054</v>
      </c>
      <c r="P91" s="169">
        <v>1</v>
      </c>
      <c r="Q91" s="225">
        <v>45425</v>
      </c>
      <c r="R91" s="169">
        <v>1</v>
      </c>
      <c r="S91" s="227" t="str">
        <f>IF(AND(Table1[[#This Row],[Phase in RDP 2022]]=Table1[[#This Row],[Phase in RDP 2023]], Table1[[#This Row],[Phase in RDP 2023]]=Table1[[#This Row],[Phase in RDP 2024]]),"Yes", "No")</f>
        <v>Yes</v>
      </c>
      <c r="T91" s="225"/>
      <c r="U91" s="169"/>
      <c r="V91" s="169">
        <f t="shared" si="2"/>
        <v>0</v>
      </c>
      <c r="W91" s="229" t="s">
        <v>136</v>
      </c>
    </row>
    <row r="92" spans="1:24" s="77" customFormat="1" ht="14.45" customHeight="1" x14ac:dyDescent="0.2">
      <c r="A92" s="41" t="s">
        <v>10</v>
      </c>
      <c r="B92" s="40" t="s">
        <v>261</v>
      </c>
      <c r="C92" s="41">
        <v>782208</v>
      </c>
      <c r="D92" s="40" t="s">
        <v>104</v>
      </c>
      <c r="E92" s="40" t="s">
        <v>321</v>
      </c>
      <c r="F92" s="173" t="s">
        <v>124</v>
      </c>
      <c r="G92" s="41">
        <v>2020</v>
      </c>
      <c r="H92" s="41">
        <v>11</v>
      </c>
      <c r="I92" s="203" t="s">
        <v>266</v>
      </c>
      <c r="J92" s="41" t="s">
        <v>23</v>
      </c>
      <c r="K92" s="41" t="s">
        <v>23</v>
      </c>
      <c r="L92" s="41" t="s">
        <v>98</v>
      </c>
      <c r="M92" s="155" t="s">
        <v>410</v>
      </c>
      <c r="N92" s="40"/>
      <c r="O92" s="201"/>
      <c r="P92" s="173">
        <v>1</v>
      </c>
      <c r="Q92" s="201"/>
      <c r="R92" s="173">
        <v>1</v>
      </c>
      <c r="S92" s="184" t="str">
        <f>IF(AND(Table1[[#This Row],[Phase in RDP 2022]]=Table1[[#This Row],[Phase in RDP 2023]], Table1[[#This Row],[Phase in RDP 2023]]=Table1[[#This Row],[Phase in RDP 2024]]),"Yes", "No")</f>
        <v>No</v>
      </c>
      <c r="T92" s="185"/>
      <c r="U92" s="173"/>
      <c r="V92" s="173">
        <f t="shared" si="2"/>
        <v>0</v>
      </c>
      <c r="W92" s="187" t="s">
        <v>136</v>
      </c>
    </row>
    <row r="93" spans="1:24" s="77" customFormat="1" ht="14.45" customHeight="1" x14ac:dyDescent="0.2">
      <c r="A93" s="117"/>
      <c r="B93" s="118"/>
      <c r="C93" s="117"/>
      <c r="D93" s="118"/>
      <c r="E93" s="119"/>
      <c r="F93" s="117"/>
      <c r="G93" s="120"/>
      <c r="H93" s="117"/>
      <c r="I93" s="132"/>
      <c r="J93" s="117"/>
      <c r="K93" s="117"/>
      <c r="L93" s="117"/>
      <c r="M93" s="121"/>
      <c r="N93" s="122"/>
      <c r="O93" s="116"/>
      <c r="P93" s="117"/>
      <c r="Q93" s="116"/>
      <c r="R93" s="117"/>
      <c r="S93" s="117"/>
      <c r="T93" s="116"/>
      <c r="V93" s="117"/>
      <c r="W93" s="118"/>
      <c r="X93" s="123"/>
    </row>
    <row r="94" spans="1:24" s="77" customFormat="1" ht="14.45" customHeight="1" x14ac:dyDescent="0.2">
      <c r="A94" s="117"/>
      <c r="B94" s="118"/>
      <c r="C94" s="117"/>
      <c r="D94" s="118"/>
      <c r="E94" s="119"/>
      <c r="F94" s="117"/>
      <c r="G94" s="120"/>
      <c r="H94" s="117"/>
      <c r="I94" s="132"/>
      <c r="J94" s="117"/>
      <c r="K94" s="117"/>
      <c r="L94" s="117"/>
      <c r="M94" s="121"/>
      <c r="N94" s="122"/>
      <c r="O94" s="116"/>
      <c r="P94" s="117"/>
      <c r="Q94" s="116"/>
      <c r="R94" s="117"/>
      <c r="S94" s="117"/>
      <c r="T94" s="116"/>
      <c r="V94" s="117"/>
      <c r="W94" s="118"/>
      <c r="X94" s="123"/>
    </row>
    <row r="95" spans="1:24" s="77" customFormat="1" ht="14.45" customHeight="1" x14ac:dyDescent="0.2">
      <c r="A95" s="117"/>
      <c r="B95" s="118"/>
      <c r="C95" s="117"/>
      <c r="D95" s="118"/>
      <c r="E95" s="119"/>
      <c r="F95" s="117"/>
      <c r="G95" s="120"/>
      <c r="H95" s="117"/>
      <c r="I95" s="118"/>
      <c r="J95" s="117"/>
      <c r="K95" s="117"/>
      <c r="L95" s="117"/>
      <c r="M95" s="121"/>
      <c r="N95" s="122"/>
      <c r="O95" s="116"/>
      <c r="P95" s="117"/>
      <c r="Q95" s="116"/>
      <c r="T95" s="116"/>
      <c r="W95" s="118"/>
      <c r="X95" s="118"/>
    </row>
    <row r="96" spans="1:24" ht="14.45" customHeight="1" x14ac:dyDescent="0.2">
      <c r="B96" s="9"/>
      <c r="D96" s="100"/>
      <c r="F96" s="102"/>
      <c r="K96" s="99"/>
      <c r="L96" s="9"/>
      <c r="M96" s="9"/>
      <c r="N96" s="9"/>
      <c r="P96" s="134"/>
      <c r="R96" s="9"/>
      <c r="S96" s="9"/>
      <c r="U96" s="9"/>
      <c r="V96" s="9"/>
    </row>
    <row r="97" spans="1:22" ht="14.45" customHeight="1" x14ac:dyDescent="0.2">
      <c r="B97" s="9"/>
      <c r="D97" s="100"/>
      <c r="F97" s="102"/>
      <c r="K97" s="99"/>
      <c r="L97" s="9"/>
      <c r="M97" s="9"/>
      <c r="N97" s="9"/>
      <c r="P97" s="134"/>
      <c r="R97" s="9"/>
      <c r="S97" s="9"/>
      <c r="U97" s="9"/>
      <c r="V97" s="9"/>
    </row>
    <row r="98" spans="1:22" ht="14.45" customHeight="1" x14ac:dyDescent="0.2">
      <c r="B98" s="9"/>
      <c r="D98" s="100"/>
      <c r="F98" s="102"/>
      <c r="K98" s="99"/>
      <c r="L98" s="9"/>
      <c r="M98" s="9"/>
      <c r="N98" s="9"/>
      <c r="P98" s="134"/>
      <c r="R98" s="9"/>
      <c r="S98" s="9"/>
      <c r="U98" s="9"/>
      <c r="V98" s="9"/>
    </row>
    <row r="99" spans="1:22" ht="14.45" customHeight="1" x14ac:dyDescent="0.2">
      <c r="B99" s="9"/>
      <c r="D99" s="100"/>
      <c r="F99" s="102"/>
      <c r="K99" s="99"/>
      <c r="L99" s="9"/>
      <c r="M99" s="9"/>
      <c r="N99" s="9"/>
      <c r="P99" s="134"/>
      <c r="R99" s="9"/>
      <c r="S99" s="9"/>
      <c r="U99" s="9"/>
      <c r="V99" s="9"/>
    </row>
    <row r="100" spans="1:22" ht="14.45" customHeight="1" x14ac:dyDescent="0.2">
      <c r="B100" s="9"/>
      <c r="D100" s="100"/>
      <c r="F100" s="102"/>
      <c r="K100" s="99"/>
      <c r="L100" s="9"/>
      <c r="M100" s="9"/>
      <c r="N100" s="9"/>
      <c r="P100" s="134"/>
      <c r="R100" s="9"/>
      <c r="S100" s="9"/>
      <c r="U100" s="9"/>
      <c r="V100" s="9"/>
    </row>
    <row r="101" spans="1:22" ht="14.45" customHeight="1" x14ac:dyDescent="0.2">
      <c r="B101" s="9"/>
      <c r="D101" s="100"/>
      <c r="F101" s="102"/>
      <c r="K101" s="99"/>
      <c r="L101" s="9"/>
      <c r="M101" s="9"/>
      <c r="N101" s="9"/>
      <c r="P101" s="134"/>
      <c r="R101" s="9"/>
      <c r="S101" s="9"/>
      <c r="U101" s="9"/>
      <c r="V101" s="9"/>
    </row>
    <row r="102" spans="1:22" ht="14.45" customHeight="1" x14ac:dyDescent="0.3">
      <c r="A102" s="106"/>
      <c r="B102" s="9"/>
      <c r="C102" s="107"/>
      <c r="D102" s="100"/>
      <c r="E102" s="108"/>
      <c r="F102" s="102"/>
      <c r="K102" s="99"/>
      <c r="L102" s="9"/>
      <c r="M102" s="9"/>
      <c r="N102" s="9"/>
      <c r="P102" s="134"/>
      <c r="R102" s="9"/>
      <c r="S102" s="9"/>
      <c r="U102" s="9"/>
      <c r="V102" s="9"/>
    </row>
    <row r="103" spans="1:22" ht="14.45" customHeight="1" x14ac:dyDescent="0.3">
      <c r="A103" s="106"/>
      <c r="B103" s="9"/>
      <c r="C103" s="107"/>
      <c r="D103" s="100"/>
      <c r="E103" s="108"/>
      <c r="F103" s="102"/>
      <c r="K103" s="99"/>
      <c r="L103" s="9"/>
      <c r="M103" s="9"/>
      <c r="N103" s="9"/>
      <c r="P103" s="134"/>
      <c r="R103" s="9"/>
      <c r="S103" s="9"/>
      <c r="U103" s="9"/>
      <c r="V103" s="9"/>
    </row>
    <row r="104" spans="1:22" ht="14.45" customHeight="1" x14ac:dyDescent="0.3">
      <c r="A104" s="106"/>
      <c r="B104" s="9"/>
      <c r="C104" s="107"/>
      <c r="D104" s="100"/>
      <c r="E104" s="108"/>
      <c r="F104" s="102"/>
      <c r="K104" s="99"/>
      <c r="L104" s="9"/>
      <c r="M104" s="9"/>
      <c r="N104" s="9"/>
      <c r="P104" s="134"/>
      <c r="R104" s="9"/>
      <c r="S104" s="9"/>
      <c r="U104" s="9"/>
      <c r="V104" s="9"/>
    </row>
    <row r="105" spans="1:22" ht="14.45" customHeight="1" x14ac:dyDescent="0.3">
      <c r="A105" s="106"/>
      <c r="B105" s="9"/>
      <c r="C105" s="107"/>
      <c r="D105" s="100"/>
      <c r="E105" s="108"/>
      <c r="F105" s="102"/>
      <c r="K105" s="99"/>
      <c r="L105" s="9"/>
      <c r="M105" s="9"/>
      <c r="N105" s="9"/>
      <c r="P105" s="134"/>
      <c r="R105" s="9"/>
      <c r="S105" s="9"/>
      <c r="U105" s="9"/>
      <c r="V105" s="9"/>
    </row>
    <row r="106" spans="1:22" ht="14.45" customHeight="1" x14ac:dyDescent="0.3">
      <c r="A106" s="106"/>
      <c r="B106" s="9"/>
      <c r="C106" s="107"/>
      <c r="D106" s="100"/>
      <c r="E106" s="108"/>
      <c r="F106" s="102"/>
      <c r="I106" s="9"/>
      <c r="K106" s="99"/>
      <c r="L106" s="9"/>
      <c r="M106" s="9"/>
      <c r="N106" s="9"/>
      <c r="P106" s="134"/>
      <c r="R106" s="9"/>
      <c r="S106" s="9"/>
      <c r="U106" s="9"/>
      <c r="V106" s="9"/>
    </row>
    <row r="107" spans="1:22" ht="14.45" customHeight="1" x14ac:dyDescent="0.3">
      <c r="A107" s="106"/>
      <c r="B107" s="9"/>
      <c r="C107" s="107"/>
      <c r="D107" s="100"/>
      <c r="E107" s="108"/>
      <c r="F107" s="102"/>
      <c r="I107" s="9"/>
      <c r="K107" s="99"/>
      <c r="L107" s="9"/>
      <c r="M107" s="9"/>
      <c r="N107" s="9"/>
      <c r="P107" s="134"/>
      <c r="R107" s="9"/>
      <c r="S107" s="9"/>
      <c r="U107" s="9"/>
      <c r="V107" s="9"/>
    </row>
    <row r="108" spans="1:22" ht="14.45" customHeight="1" x14ac:dyDescent="0.3">
      <c r="A108" s="106"/>
      <c r="B108" s="9"/>
      <c r="C108" s="107"/>
      <c r="D108" s="100"/>
      <c r="E108" s="108"/>
      <c r="F108" s="102"/>
      <c r="I108" s="9"/>
      <c r="K108" s="99"/>
      <c r="L108" s="9"/>
      <c r="M108" s="9"/>
      <c r="N108" s="9"/>
      <c r="P108" s="134"/>
      <c r="R108" s="9"/>
      <c r="S108" s="9"/>
      <c r="U108" s="9"/>
      <c r="V108" s="9"/>
    </row>
    <row r="109" spans="1:22" ht="14.45" customHeight="1" x14ac:dyDescent="0.2">
      <c r="B109" s="9"/>
      <c r="D109" s="100"/>
      <c r="F109" s="102"/>
      <c r="I109" s="9"/>
      <c r="K109" s="99"/>
      <c r="L109" s="9"/>
      <c r="M109" s="9"/>
      <c r="N109" s="9"/>
      <c r="P109" s="134"/>
      <c r="R109" s="9"/>
      <c r="S109" s="9"/>
      <c r="U109" s="9"/>
      <c r="V109" s="9"/>
    </row>
    <row r="110" spans="1:22" ht="14.45" customHeight="1" x14ac:dyDescent="0.2">
      <c r="B110" s="9"/>
      <c r="D110" s="100"/>
      <c r="F110" s="102"/>
      <c r="I110" s="9"/>
      <c r="K110" s="99"/>
      <c r="L110" s="9"/>
      <c r="M110" s="9"/>
      <c r="N110" s="9"/>
      <c r="P110" s="134"/>
      <c r="R110" s="9"/>
      <c r="S110" s="9"/>
      <c r="U110" s="9"/>
      <c r="V110" s="9"/>
    </row>
    <row r="111" spans="1:22" ht="14.45" customHeight="1" x14ac:dyDescent="0.2">
      <c r="B111" s="9"/>
      <c r="D111" s="100"/>
      <c r="F111" s="102"/>
      <c r="I111" s="9"/>
      <c r="K111" s="99"/>
      <c r="L111" s="9"/>
      <c r="M111" s="9"/>
      <c r="N111" s="9"/>
      <c r="P111" s="134"/>
      <c r="R111" s="9"/>
      <c r="S111" s="9"/>
      <c r="U111" s="9"/>
      <c r="V111" s="9"/>
    </row>
    <row r="112" spans="1:22" ht="14.45" customHeight="1" x14ac:dyDescent="0.3">
      <c r="A112" s="106"/>
      <c r="B112" s="9"/>
      <c r="C112" s="107"/>
      <c r="D112" s="100"/>
      <c r="E112" s="108"/>
      <c r="F112" s="102"/>
      <c r="I112" s="9"/>
      <c r="K112" s="99"/>
      <c r="L112" s="9"/>
      <c r="M112" s="9"/>
      <c r="N112" s="9"/>
      <c r="P112" s="134"/>
      <c r="R112" s="9"/>
      <c r="S112" s="9"/>
      <c r="U112" s="9"/>
      <c r="V112" s="9"/>
    </row>
    <row r="113" spans="1:22" ht="14.45" customHeight="1" x14ac:dyDescent="0.2">
      <c r="B113" s="9"/>
      <c r="D113" s="100"/>
      <c r="F113" s="102"/>
      <c r="I113" s="9"/>
      <c r="K113" s="99"/>
      <c r="L113" s="9"/>
      <c r="M113" s="9"/>
      <c r="N113" s="9"/>
      <c r="P113" s="134"/>
      <c r="R113" s="9"/>
      <c r="S113" s="9"/>
      <c r="U113" s="9"/>
      <c r="V113" s="9"/>
    </row>
    <row r="114" spans="1:22" ht="14.45" customHeight="1" x14ac:dyDescent="0.2">
      <c r="B114" s="9"/>
      <c r="D114" s="100"/>
      <c r="F114" s="102"/>
      <c r="I114" s="9"/>
      <c r="K114" s="99"/>
      <c r="L114" s="9"/>
      <c r="M114" s="9"/>
      <c r="N114" s="9"/>
      <c r="P114" s="134"/>
      <c r="R114" s="9"/>
      <c r="S114" s="9"/>
      <c r="U114" s="9"/>
      <c r="V114" s="9"/>
    </row>
    <row r="115" spans="1:22" ht="14.45" customHeight="1" x14ac:dyDescent="0.2">
      <c r="B115" s="9"/>
      <c r="D115" s="100"/>
      <c r="F115" s="102"/>
      <c r="I115" s="9"/>
      <c r="K115" s="99"/>
      <c r="L115" s="9"/>
      <c r="M115" s="9"/>
      <c r="N115" s="9"/>
      <c r="P115" s="134"/>
      <c r="R115" s="9"/>
      <c r="S115" s="9"/>
      <c r="U115" s="9"/>
      <c r="V115" s="9"/>
    </row>
    <row r="116" spans="1:22" ht="14.45" customHeight="1" x14ac:dyDescent="0.2">
      <c r="B116" s="9"/>
      <c r="D116" s="100"/>
      <c r="F116" s="102"/>
      <c r="I116" s="9"/>
      <c r="K116" s="99"/>
      <c r="L116" s="9"/>
      <c r="M116" s="9"/>
      <c r="N116" s="9"/>
      <c r="P116" s="134"/>
      <c r="R116" s="9"/>
      <c r="S116" s="9"/>
      <c r="U116" s="9"/>
      <c r="V116" s="9"/>
    </row>
    <row r="117" spans="1:22" ht="14.45" customHeight="1" x14ac:dyDescent="0.2">
      <c r="B117" s="9"/>
      <c r="D117" s="100"/>
      <c r="F117" s="102"/>
      <c r="I117" s="9"/>
      <c r="K117" s="99"/>
      <c r="L117" s="9"/>
      <c r="M117" s="9"/>
      <c r="N117" s="9"/>
      <c r="P117" s="134"/>
      <c r="R117" s="9"/>
      <c r="S117" s="9"/>
      <c r="U117" s="9"/>
      <c r="V117" s="9"/>
    </row>
    <row r="118" spans="1:22" ht="14.45" customHeight="1" x14ac:dyDescent="0.2">
      <c r="B118" s="9"/>
      <c r="D118" s="100"/>
      <c r="F118" s="102"/>
      <c r="I118" s="9"/>
      <c r="K118" s="99"/>
      <c r="L118" s="9"/>
      <c r="M118" s="9"/>
      <c r="N118" s="9"/>
      <c r="P118" s="134"/>
      <c r="R118" s="9"/>
      <c r="S118" s="9"/>
      <c r="U118" s="9"/>
      <c r="V118" s="9"/>
    </row>
    <row r="119" spans="1:22" ht="14.45" customHeight="1" x14ac:dyDescent="0.2">
      <c r="B119" s="9"/>
      <c r="D119" s="100"/>
      <c r="F119" s="102"/>
      <c r="I119" s="9"/>
      <c r="K119" s="99"/>
      <c r="L119" s="9"/>
      <c r="M119" s="9"/>
      <c r="N119" s="9"/>
      <c r="P119" s="134"/>
      <c r="R119" s="9"/>
      <c r="S119" s="9"/>
      <c r="U119" s="9"/>
      <c r="V119" s="9"/>
    </row>
    <row r="120" spans="1:22" ht="14.45" customHeight="1" x14ac:dyDescent="0.2">
      <c r="B120" s="9"/>
      <c r="D120" s="100"/>
      <c r="F120" s="102"/>
      <c r="I120" s="9"/>
      <c r="K120" s="99"/>
      <c r="L120" s="9"/>
      <c r="M120" s="9"/>
      <c r="N120" s="9"/>
      <c r="P120" s="134"/>
      <c r="R120" s="9"/>
      <c r="S120" s="9"/>
      <c r="U120" s="9"/>
      <c r="V120" s="9"/>
    </row>
    <row r="121" spans="1:22" ht="14.45" customHeight="1" x14ac:dyDescent="0.2">
      <c r="B121" s="9"/>
      <c r="D121" s="100"/>
      <c r="F121" s="102"/>
      <c r="I121" s="9"/>
      <c r="K121" s="99"/>
      <c r="L121" s="9"/>
      <c r="M121" s="9"/>
      <c r="N121" s="9"/>
      <c r="P121" s="134"/>
      <c r="R121" s="9"/>
      <c r="S121" s="9"/>
      <c r="U121" s="9"/>
      <c r="V121" s="9"/>
    </row>
    <row r="122" spans="1:22" ht="14.45" customHeight="1" x14ac:dyDescent="0.2">
      <c r="B122" s="9"/>
      <c r="D122" s="100"/>
      <c r="F122" s="102"/>
      <c r="I122" s="9"/>
      <c r="K122" s="99"/>
      <c r="L122" s="9"/>
      <c r="M122" s="9"/>
      <c r="N122" s="9"/>
      <c r="P122" s="134"/>
      <c r="R122" s="9"/>
      <c r="S122" s="9"/>
      <c r="U122" s="9"/>
      <c r="V122" s="9"/>
    </row>
    <row r="123" spans="1:22" ht="14.45" customHeight="1" x14ac:dyDescent="0.2">
      <c r="A123" s="9"/>
      <c r="B123" s="9"/>
      <c r="D123" s="100"/>
      <c r="E123" s="9"/>
      <c r="F123" s="102"/>
      <c r="I123" s="9"/>
      <c r="K123" s="99"/>
      <c r="L123" s="9"/>
      <c r="M123" s="9"/>
      <c r="N123" s="9"/>
      <c r="P123" s="134"/>
      <c r="R123" s="9"/>
      <c r="S123" s="9"/>
      <c r="U123" s="9"/>
      <c r="V123" s="9"/>
    </row>
    <row r="124" spans="1:22" ht="14.45" customHeight="1" x14ac:dyDescent="0.2">
      <c r="A124" s="9"/>
      <c r="B124" s="9"/>
      <c r="D124" s="100"/>
      <c r="E124" s="9"/>
      <c r="F124" s="102"/>
      <c r="I124" s="9"/>
      <c r="K124" s="99"/>
      <c r="L124" s="9"/>
      <c r="M124" s="9"/>
      <c r="N124" s="9"/>
      <c r="P124" s="134"/>
      <c r="R124" s="9"/>
      <c r="S124" s="9"/>
      <c r="U124" s="9"/>
      <c r="V124" s="9"/>
    </row>
    <row r="125" spans="1:22" ht="14.45" customHeight="1" x14ac:dyDescent="0.2">
      <c r="A125" s="9"/>
      <c r="B125" s="9"/>
      <c r="D125" s="100"/>
      <c r="E125" s="9"/>
      <c r="F125" s="102"/>
      <c r="I125" s="9"/>
      <c r="K125" s="99"/>
      <c r="L125" s="9"/>
      <c r="M125" s="9"/>
      <c r="N125" s="9"/>
      <c r="P125" s="134"/>
      <c r="R125" s="9"/>
      <c r="S125" s="9"/>
      <c r="U125" s="9"/>
      <c r="V125" s="9"/>
    </row>
    <row r="126" spans="1:22" ht="14.45" customHeight="1" x14ac:dyDescent="0.2">
      <c r="A126" s="9"/>
      <c r="B126" s="9"/>
      <c r="D126" s="100"/>
      <c r="E126" s="9"/>
      <c r="F126" s="102"/>
      <c r="I126" s="9"/>
      <c r="K126" s="99"/>
      <c r="L126" s="9"/>
      <c r="M126" s="9"/>
      <c r="N126" s="9"/>
      <c r="P126" s="134"/>
      <c r="R126" s="9"/>
      <c r="S126" s="9"/>
      <c r="U126" s="9"/>
      <c r="V126" s="9"/>
    </row>
    <row r="127" spans="1:22" ht="14.45" customHeight="1" x14ac:dyDescent="0.2">
      <c r="A127" s="9"/>
      <c r="B127" s="9"/>
      <c r="D127" s="100"/>
      <c r="E127" s="9"/>
      <c r="F127" s="102"/>
      <c r="I127" s="9"/>
      <c r="K127" s="99"/>
      <c r="L127" s="9"/>
      <c r="M127" s="9"/>
      <c r="N127" s="9"/>
      <c r="P127" s="134"/>
      <c r="R127" s="9"/>
      <c r="S127" s="9"/>
      <c r="U127" s="9"/>
      <c r="V127" s="9"/>
    </row>
    <row r="128" spans="1:22" ht="14.45" customHeight="1" x14ac:dyDescent="0.2">
      <c r="A128" s="9"/>
      <c r="B128" s="9"/>
      <c r="D128" s="100"/>
      <c r="E128" s="9"/>
      <c r="F128" s="102"/>
      <c r="I128" s="9"/>
      <c r="K128" s="99"/>
      <c r="L128" s="9"/>
      <c r="M128" s="9"/>
      <c r="N128" s="9"/>
      <c r="P128" s="134"/>
      <c r="R128" s="9"/>
      <c r="S128" s="9"/>
      <c r="U128" s="9"/>
      <c r="V128" s="9"/>
    </row>
    <row r="129" spans="1:22" ht="14.45" customHeight="1" x14ac:dyDescent="0.2">
      <c r="A129" s="9"/>
      <c r="B129" s="9"/>
      <c r="D129" s="100"/>
      <c r="E129" s="9"/>
      <c r="F129" s="102"/>
      <c r="I129" s="9"/>
      <c r="K129" s="99"/>
      <c r="L129" s="9"/>
      <c r="M129" s="9"/>
      <c r="N129" s="9"/>
      <c r="P129" s="134"/>
      <c r="R129" s="9"/>
      <c r="S129" s="9"/>
      <c r="U129" s="9"/>
      <c r="V129" s="9"/>
    </row>
    <row r="130" spans="1:22" ht="14.45" customHeight="1" x14ac:dyDescent="0.2">
      <c r="A130" s="9"/>
      <c r="B130" s="9"/>
      <c r="D130" s="100"/>
      <c r="E130" s="9"/>
      <c r="F130" s="102"/>
      <c r="I130" s="9"/>
      <c r="K130" s="99"/>
      <c r="L130" s="9"/>
      <c r="M130" s="9"/>
      <c r="N130" s="9"/>
      <c r="P130" s="134"/>
      <c r="R130" s="9"/>
      <c r="S130" s="9"/>
      <c r="U130" s="9"/>
      <c r="V130" s="9"/>
    </row>
    <row r="131" spans="1:22" ht="14.45" customHeight="1" x14ac:dyDescent="0.2">
      <c r="A131" s="9"/>
      <c r="B131" s="9"/>
      <c r="D131" s="100"/>
      <c r="E131" s="9"/>
      <c r="F131" s="102"/>
      <c r="I131" s="9"/>
      <c r="K131" s="99"/>
      <c r="L131" s="9"/>
      <c r="M131" s="9"/>
      <c r="N131" s="9"/>
      <c r="P131" s="134"/>
      <c r="R131" s="9"/>
      <c r="S131" s="9"/>
      <c r="U131" s="9"/>
      <c r="V131" s="9"/>
    </row>
    <row r="132" spans="1:22" ht="14.45" customHeight="1" x14ac:dyDescent="0.2">
      <c r="A132" s="9"/>
      <c r="B132" s="9"/>
      <c r="D132" s="100"/>
      <c r="E132" s="9"/>
      <c r="F132" s="102"/>
      <c r="I132" s="9"/>
      <c r="K132" s="99"/>
      <c r="L132" s="9"/>
      <c r="M132" s="9"/>
      <c r="N132" s="9"/>
      <c r="P132" s="134"/>
      <c r="R132" s="9"/>
      <c r="S132" s="9"/>
      <c r="U132" s="9"/>
      <c r="V132" s="9"/>
    </row>
    <row r="133" spans="1:22" ht="14.45" customHeight="1" x14ac:dyDescent="0.2">
      <c r="A133" s="9"/>
      <c r="B133" s="9"/>
      <c r="D133" s="100"/>
      <c r="E133" s="9"/>
      <c r="F133" s="102"/>
      <c r="I133" s="9"/>
      <c r="K133" s="99"/>
      <c r="L133" s="9"/>
      <c r="M133" s="9"/>
      <c r="N133" s="9"/>
      <c r="P133" s="134"/>
      <c r="R133" s="9"/>
      <c r="S133" s="9"/>
      <c r="U133" s="9"/>
      <c r="V133" s="9"/>
    </row>
    <row r="134" spans="1:22" ht="14.45" customHeight="1" x14ac:dyDescent="0.2">
      <c r="R134" s="9"/>
      <c r="S134" s="9"/>
      <c r="U134" s="9"/>
      <c r="V134" s="9"/>
    </row>
    <row r="135" spans="1:22" ht="14.45" customHeight="1" x14ac:dyDescent="0.2">
      <c r="R135" s="9"/>
      <c r="S135" s="9"/>
      <c r="U135" s="9"/>
      <c r="V135" s="9"/>
    </row>
    <row r="136" spans="1:22" ht="14.45" customHeight="1" x14ac:dyDescent="0.2">
      <c r="R136" s="9"/>
      <c r="S136" s="9"/>
      <c r="U136" s="9"/>
      <c r="V136" s="9"/>
    </row>
    <row r="137" spans="1:22" ht="14.45" customHeight="1" x14ac:dyDescent="0.2">
      <c r="R137" s="9"/>
      <c r="S137" s="9"/>
      <c r="U137" s="9"/>
      <c r="V137" s="9"/>
    </row>
    <row r="138" spans="1:22" ht="14.45" customHeight="1" x14ac:dyDescent="0.2">
      <c r="R138" s="9"/>
      <c r="S138" s="9"/>
      <c r="U138" s="9"/>
      <c r="V138" s="9"/>
    </row>
    <row r="139" spans="1:22" ht="14.45" customHeight="1" x14ac:dyDescent="0.2">
      <c r="R139" s="9"/>
      <c r="S139" s="9"/>
      <c r="U139" s="9"/>
      <c r="V139" s="9"/>
    </row>
    <row r="140" spans="1:22" ht="14.45" customHeight="1" x14ac:dyDescent="0.2">
      <c r="R140" s="9"/>
      <c r="S140" s="9"/>
      <c r="U140" s="9"/>
      <c r="V140" s="9"/>
    </row>
    <row r="141" spans="1:22" ht="14.45" customHeight="1" x14ac:dyDescent="0.2">
      <c r="R141" s="9"/>
      <c r="S141" s="9"/>
      <c r="U141" s="9"/>
      <c r="V141" s="9"/>
    </row>
    <row r="142" spans="1:22" ht="14.45" customHeight="1" x14ac:dyDescent="0.2">
      <c r="U142" s="9"/>
    </row>
    <row r="143" spans="1:22" ht="14.45" customHeight="1" x14ac:dyDescent="0.2">
      <c r="U143" s="9"/>
    </row>
    <row r="144" spans="1:22" ht="14.45" customHeight="1" x14ac:dyDescent="0.2">
      <c r="U144" s="9"/>
    </row>
    <row r="145" spans="21:21" ht="14.45" customHeight="1" x14ac:dyDescent="0.2">
      <c r="U145" s="9"/>
    </row>
    <row r="146" spans="21:21" ht="14.45" customHeight="1" x14ac:dyDescent="0.2">
      <c r="U146" s="9"/>
    </row>
    <row r="147" spans="21:21" ht="14.45" customHeight="1" x14ac:dyDescent="0.2">
      <c r="U147" s="9"/>
    </row>
    <row r="148" spans="21:21" ht="14.45" customHeight="1" x14ac:dyDescent="0.2">
      <c r="U148" s="9"/>
    </row>
    <row r="149" spans="21:21" ht="14.45" customHeight="1" x14ac:dyDescent="0.2">
      <c r="U149" s="9"/>
    </row>
    <row r="150" spans="21:21" ht="14.45" customHeight="1" x14ac:dyDescent="0.2">
      <c r="U150" s="9"/>
    </row>
  </sheetData>
  <conditionalFormatting sqref="B89:B91">
    <cfRule type="duplicateValues" dxfId="16" priority="9"/>
  </conditionalFormatting>
  <conditionalFormatting sqref="B92">
    <cfRule type="duplicateValues" dxfId="15" priority="5"/>
  </conditionalFormatting>
  <conditionalFormatting sqref="B93:B94">
    <cfRule type="duplicateValues" dxfId="14" priority="85"/>
  </conditionalFormatting>
  <conditionalFormatting sqref="B95">
    <cfRule type="duplicateValues" dxfId="13" priority="60"/>
  </conditionalFormatting>
  <conditionalFormatting sqref="C25:C26 C23 C29:C33">
    <cfRule type="duplicateValues" dxfId="12" priority="90"/>
  </conditionalFormatting>
  <conditionalFormatting sqref="C34">
    <cfRule type="duplicateValues" dxfId="11" priority="13"/>
  </conditionalFormatting>
  <conditionalFormatting sqref="C36">
    <cfRule type="duplicateValues" dxfId="10" priority="12"/>
  </conditionalFormatting>
  <conditionalFormatting sqref="C37">
    <cfRule type="duplicateValues" dxfId="9" priority="11"/>
  </conditionalFormatting>
  <conditionalFormatting sqref="C54">
    <cfRule type="duplicateValues" dxfId="8" priority="10"/>
  </conditionalFormatting>
  <conditionalFormatting sqref="C59">
    <cfRule type="duplicateValues" dxfId="7" priority="1"/>
  </conditionalFormatting>
  <conditionalFormatting sqref="C85:C87">
    <cfRule type="duplicateValues" dxfId="6" priority="6"/>
  </conditionalFormatting>
  <conditionalFormatting sqref="C88 C78:C84">
    <cfRule type="duplicateValues" dxfId="5" priority="7"/>
  </conditionalFormatting>
  <conditionalFormatting sqref="C89:C91">
    <cfRule type="duplicateValues" dxfId="4" priority="8"/>
  </conditionalFormatting>
  <conditionalFormatting sqref="C92">
    <cfRule type="duplicateValues" dxfId="3" priority="4"/>
  </conditionalFormatting>
  <conditionalFormatting sqref="C93:C94">
    <cfRule type="duplicateValues" dxfId="2" priority="84"/>
  </conditionalFormatting>
  <conditionalFormatting sqref="C134:C1048576 C1 C7 C22 C95">
    <cfRule type="duplicateValues" dxfId="1" priority="33"/>
  </conditionalFormatting>
  <conditionalFormatting sqref="W1">
    <cfRule type="duplicateValues" dxfId="0" priority="24"/>
  </conditionalFormatting>
  <hyperlinks>
    <hyperlink ref="M73" r:id="rId1" xr:uid="{301A3322-EC5E-416F-87F4-CE8600E18556}"/>
    <hyperlink ref="M41" r:id="rId2" xr:uid="{AEDBBE7D-12D3-498C-A17E-A237B95F0055}"/>
    <hyperlink ref="M67" r:id="rId3" xr:uid="{4470DAFF-4C4E-4B74-A756-9AAFAB235385}"/>
    <hyperlink ref="M43" r:id="rId4" xr:uid="{60386B9E-0572-49EE-A283-531A9CE80335}"/>
    <hyperlink ref="M64" r:id="rId5" xr:uid="{74EC9F53-4A56-4AC3-86BC-FB108F3F293A}"/>
    <hyperlink ref="M57" r:id="rId6" xr:uid="{1A0283B5-246E-48F1-A847-17CD27E89DCD}"/>
    <hyperlink ref="M20" r:id="rId7" xr:uid="{B7F9842E-9A60-444B-B3A5-7BDC95822EF2}"/>
    <hyperlink ref="M65" r:id="rId8" xr:uid="{54217FDB-CF4D-474D-9872-B01D6B3AE380}"/>
    <hyperlink ref="M19" r:id="rId9" xr:uid="{0A9716A0-7BF8-4DB3-A980-4E4056074E2D}"/>
    <hyperlink ref="M15" r:id="rId10" xr:uid="{9DBF78C4-265B-4F7B-BF03-A9983EE9E04F}"/>
    <hyperlink ref="M16" r:id="rId11" xr:uid="{509ED5EE-A4DE-4D18-BA5B-8F52A32489CF}"/>
    <hyperlink ref="M66" r:id="rId12" xr:uid="{5188B045-2FEE-4D44-9CCB-EBB23B871FF6}"/>
    <hyperlink ref="M26" r:id="rId13" xr:uid="{32B81953-BC50-467C-8BA9-9313968A996B}"/>
    <hyperlink ref="M11" r:id="rId14" display="mailto:FATAIREO@OUTLOOK.COM" xr:uid="{ADCC2254-BBFC-44D4-931B-EDEBC106F4E4}"/>
    <hyperlink ref="M31" r:id="rId15" xr:uid="{77B7909E-1E72-409C-9047-E5149DFA1CD5}"/>
    <hyperlink ref="M22" r:id="rId16" display="mailto:ali.alfaraj.2@aramco.com" xr:uid="{45C20940-C1B2-443E-A958-273A2E9E5C39}"/>
    <hyperlink ref="M63" r:id="rId17" xr:uid="{23D09BE8-4350-4F6D-97BC-91B1C6DBE058}"/>
    <hyperlink ref="M4" r:id="rId18" xr:uid="{A09C1D5F-BEF8-471D-BFEE-D71ED66997DB}"/>
    <hyperlink ref="M3" r:id="rId19" xr:uid="{5A03AFF2-3F4C-44DB-BD47-DE3F7F443470}"/>
    <hyperlink ref="M12" r:id="rId20" xr:uid="{D20F7A12-D845-4A2A-B7E2-E714DBC52BB9}"/>
    <hyperlink ref="M70" r:id="rId21" display="mailto:Mutaz.alsubhi@kaust.edu.sa" xr:uid="{0A6BC42C-A1AC-4123-A568-1B497E55CB87}"/>
    <hyperlink ref="M21" r:id="rId22" xr:uid="{B7238286-8B0F-4D3C-9872-ACA86B769B16}"/>
    <hyperlink ref="M17" r:id="rId23" xr:uid="{502D0EE3-0378-47E1-A0C1-0F7FA4FAE4CD}"/>
    <hyperlink ref="M10" r:id="rId24" xr:uid="{3DCFBDE1-6C7E-4D3C-9D29-60E34D7FAF84}"/>
    <hyperlink ref="M58" r:id="rId25" xr:uid="{E5EF02BF-A859-4EAF-8A96-533298ED5702}"/>
    <hyperlink ref="M69" r:id="rId26" xr:uid="{3EF67D0F-DA60-4827-B62A-AF7CDB135D34}"/>
    <hyperlink ref="M50" r:id="rId27" xr:uid="{D0559B9A-94EE-454E-899F-FEB5C1F01A55}"/>
    <hyperlink ref="M13" r:id="rId28" xr:uid="{F233D6E0-BCA6-49DD-AACB-C4CD7037BFBB}"/>
    <hyperlink ref="M35" r:id="rId29" xr:uid="{1362BDDD-70E9-4B39-BC96-DE02DED323DC}"/>
    <hyperlink ref="M92" r:id="rId30" xr:uid="{B77614D8-B2D5-47CE-AE31-4D0041CD85A5}"/>
    <hyperlink ref="M18" r:id="rId31" xr:uid="{ECE7B497-F68B-49B4-A9EE-D3C37BBE2354}"/>
    <hyperlink ref="M27" r:id="rId32" xr:uid="{7DC4F3BF-02E3-4630-9C91-5C6EE8ED76CC}"/>
    <hyperlink ref="M46" r:id="rId33" xr:uid="{AEFB8E54-BCA4-491B-95C6-87EFE01A7B02}"/>
    <hyperlink ref="M55" r:id="rId34" xr:uid="{7312E5BF-ADA5-4360-98F4-11E2D380C520}"/>
    <hyperlink ref="M23" r:id="rId35" xr:uid="{B534F4CF-7A05-486B-B009-94B06E5E4D38}"/>
    <hyperlink ref="M28" r:id="rId36" display="mailto:badegawo@aramco.com" xr:uid="{917FD380-C22E-4426-B4CE-59F1D2CA7C54}"/>
    <hyperlink ref="M49" r:id="rId37" display="mailto:MARWAN.ALMULHIM@ARAMCO.COM" xr:uid="{F84C09D7-0279-4EA3-B5E0-95AA8627CD8B}"/>
    <hyperlink ref="M29" r:id="rId38" xr:uid="{8EAE4E91-37C6-4AC5-8122-7F0816F8433B}"/>
    <hyperlink ref="M88" r:id="rId39" xr:uid="{0DFE5186-5CB0-47CE-90D7-84D2C66EC0F1}"/>
    <hyperlink ref="M45" r:id="rId40" xr:uid="{8846E5B3-F827-49CD-BC15-EE291EF1FF77}"/>
    <hyperlink ref="M36" r:id="rId41" xr:uid="{5E87DC63-0C90-41F3-B6AF-A905ACC24AF2}"/>
    <hyperlink ref="M30" r:id="rId42" xr:uid="{5BF9A8D9-F953-40A5-8D1D-89C1D9176861}"/>
    <hyperlink ref="M14" r:id="rId43" xr:uid="{F2702640-3E40-4CD1-B894-9CAC9C78D8E0}"/>
    <hyperlink ref="M33" r:id="rId44" xr:uid="{996919D3-8B54-4503-A277-48A8B08DDEF5}"/>
    <hyperlink ref="M34" r:id="rId45" xr:uid="{E1AB9860-E96A-430E-9333-BF55CC3F64C4}"/>
    <hyperlink ref="M24" r:id="rId46" xr:uid="{75C370BF-8975-48F6-9E80-1B2E4898A94E}"/>
    <hyperlink ref="M32" r:id="rId47" xr:uid="{A93A7BC2-93B7-41E5-8C55-692039F2EA0F}"/>
    <hyperlink ref="M37" r:id="rId48" xr:uid="{41EA1678-80A9-4F4A-BFD2-833315FEA822}"/>
    <hyperlink ref="M38" r:id="rId49" xr:uid="{062C7ED7-E2A0-45FA-BFD1-B3F1BCCAC0CA}"/>
    <hyperlink ref="M39" r:id="rId50" xr:uid="{D3BEF817-8D5D-4D64-93AB-181C9CBE9A40}"/>
    <hyperlink ref="M89" r:id="rId51" xr:uid="{DAD69381-3FC3-451F-9361-78C0D2BE0831}"/>
  </hyperlinks>
  <pageMargins left="0.7" right="0.7" top="0.75" bottom="0.75" header="0.3" footer="0.3"/>
  <pageSetup scale="17" fitToHeight="0" orientation="portrait" r:id="rId52"/>
  <headerFooter differentOddEven="1">
    <oddHeader>&amp;L&amp;"Arial"&amp;10&amp;K000000&amp;1#</oddHeader>
    <oddFooter>&amp;CSaudi Aramco: Company General Use</oddFooter>
    <evenHeader>&amp;L&amp;"Arial"&amp;10&amp;K000000&amp;1#</evenHeader>
    <evenFooter>&amp;CSaudi Aramco: Company General Use</evenFooter>
  </headerFooter>
  <legacyDrawing r:id="rId53"/>
  <tableParts count="1">
    <tablePart r:id="rId5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C606EA-A001-4E79-8228-63360CAD2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2025</vt:lpstr>
      <vt:lpstr>2025!Print_Area</vt:lpstr>
    </vt:vector>
  </TitlesOfParts>
  <Company>Saudi Aramco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kokalsl</dc:creator>
  <cp:keywords>Company General Use</cp:keywords>
  <cp:lastModifiedBy>Larbi Zeghlache, Mohamed</cp:lastModifiedBy>
  <cp:lastPrinted>2023-05-15T06:12:18Z</cp:lastPrinted>
  <dcterms:created xsi:type="dcterms:W3CDTF">2016-07-11T08:05:55Z</dcterms:created>
  <dcterms:modified xsi:type="dcterms:W3CDTF">2025-12-22T10:43:19Z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9e5f680d-7ac6-499c-b0ef-e9dc8280cd13</vt:lpwstr>
  </property>
  <property fmtid="{D5CDD505-2E9C-101B-9397-08002B2CF9AE}" pid="3" name="Editor">
    <vt:lpwstr>amerma0h</vt:lpwstr>
  </property>
  <property fmtid="{D5CDD505-2E9C-101B-9397-08002B2CF9AE}" pid="4" name="Last Modification date">
    <vt:lpwstr>2017-09-18</vt:lpwstr>
  </property>
  <property fmtid="{D5CDD505-2E9C-101B-9397-08002B2CF9AE}" pid="5" name="Last Modification time">
    <vt:lpwstr>8:24:18 AM</vt:lpwstr>
  </property>
  <property fmtid="{D5CDD505-2E9C-101B-9397-08002B2CF9AE}" pid="6" name="Classification">
    <vt:lpwstr>CompanyGeneralUse</vt:lpwstr>
  </property>
  <property fmtid="{D5CDD505-2E9C-101B-9397-08002B2CF9AE}" pid="7" name="MSIP_Label_b176ec7a-5c1c-40d8-b713-034aac8a6cec_Enabled">
    <vt:lpwstr>True</vt:lpwstr>
  </property>
  <property fmtid="{D5CDD505-2E9C-101B-9397-08002B2CF9AE}" pid="8" name="MSIP_Label_b176ec7a-5c1c-40d8-b713-034aac8a6cec_SiteId">
    <vt:lpwstr>5a1e0c10-68b1-4667-974b-f394ba989c51</vt:lpwstr>
  </property>
  <property fmtid="{D5CDD505-2E9C-101B-9397-08002B2CF9AE}" pid="9" name="MSIP_Label_b176ec7a-5c1c-40d8-b713-034aac8a6cec_Owner">
    <vt:lpwstr>amerma0h@aramco.com</vt:lpwstr>
  </property>
  <property fmtid="{D5CDD505-2E9C-101B-9397-08002B2CF9AE}" pid="10" name="MSIP_Label_b176ec7a-5c1c-40d8-b713-034aac8a6cec_SetDate">
    <vt:lpwstr>2019-09-01T05:40:46.9089329Z</vt:lpwstr>
  </property>
  <property fmtid="{D5CDD505-2E9C-101B-9397-08002B2CF9AE}" pid="11" name="MSIP_Label_b176ec7a-5c1c-40d8-b713-034aac8a6cec_Name">
    <vt:lpwstr>Company General Use</vt:lpwstr>
  </property>
  <property fmtid="{D5CDD505-2E9C-101B-9397-08002B2CF9AE}" pid="12" name="MSIP_Label_b176ec7a-5c1c-40d8-b713-034aac8a6cec_Application">
    <vt:lpwstr>Microsoft Azure Information Protection</vt:lpwstr>
  </property>
  <property fmtid="{D5CDD505-2E9C-101B-9397-08002B2CF9AE}" pid="13" name="MSIP_Label_b176ec7a-5c1c-40d8-b713-034aac8a6cec_ActionId">
    <vt:lpwstr>868996dd-3b5f-47a7-abe2-f72b20616a08</vt:lpwstr>
  </property>
  <property fmtid="{D5CDD505-2E9C-101B-9397-08002B2CF9AE}" pid="14" name="MSIP_Label_b176ec7a-5c1c-40d8-b713-034aac8a6cec_Extended_MSFT_Method">
    <vt:lpwstr>Automatic</vt:lpwstr>
  </property>
  <property fmtid="{D5CDD505-2E9C-101B-9397-08002B2CF9AE}" pid="15" name="Sensitivity">
    <vt:lpwstr>Company General Use</vt:lpwstr>
  </property>
</Properties>
</file>